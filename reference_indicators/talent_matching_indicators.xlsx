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匹配指标配置" sheetId="1" r:id="rId1"/>
    <sheet name="指标分析" sheetId="2" r:id="rId2"/>
    <sheet name="岗位权重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<sst xmlns="http://schemas.openxmlformats.org/spreadsheetml/2006/main" count="973" uniqueCount="475">
  <si>
    <t>参考指标影响系数（0-10）</t>
  </si>
  <si>
    <t>指标ID</t>
  </si>
  <si>
    <t>指标名称</t>
  </si>
  <si>
    <t>视角</t>
  </si>
  <si>
    <t>类别</t>
  </si>
  <si>
    <t>启用</t>
  </si>
  <si>
    <t>计算方法</t>
  </si>
  <si>
    <t>缺失值策略</t>
  </si>
  <si>
    <t>指标说明</t>
  </si>
  <si>
    <t>候选人输入字段</t>
  </si>
  <si>
    <t>岗位输入字段</t>
  </si>
  <si>
    <t>required_skill_coverage</t>
  </si>
  <si>
    <t>必需技能覆盖</t>
  </si>
  <si>
    <t>recruiter</t>
  </si>
  <si>
    <t>技能能力</t>
  </si>
  <si>
    <t>字段归一化为0-100分；按A列系数在当前视角内动态归一加权</t>
  </si>
  <si>
    <t>exclude</t>
  </si>
  <si>
    <t>核验必需技能的精确、可迁移或缺失状态。</t>
  </si>
  <si>
    <t>skills</t>
  </si>
  <si>
    <t>required_skills</t>
  </si>
  <si>
    <t>preferred_skill_coverage</t>
  </si>
  <si>
    <t>加分技能覆盖</t>
  </si>
  <si>
    <t>加分技能覆盖：仅依据已提供、与岗位相关且可核验的信息计算；缺失时标记unknown。</t>
  </si>
  <si>
    <t>preferred_skills</t>
  </si>
  <si>
    <t>skill_proficiency</t>
  </si>
  <si>
    <t>技能熟练度</t>
  </si>
  <si>
    <t>技能熟练度：仅依据已提供、与岗位相关且可核验的信息计算；缺失时标记unknown。</t>
  </si>
  <si>
    <t>skills.level</t>
  </si>
  <si>
    <t>required_skills.level;preferred_skills.level</t>
  </si>
  <si>
    <t>skill_experience_years</t>
  </si>
  <si>
    <t>技能使用年限</t>
  </si>
  <si>
    <t>技能使用年限：仅依据已提供、与岗位相关且可核验的信息计算；缺失时标记unknown。</t>
  </si>
  <si>
    <t>skills.years</t>
  </si>
  <si>
    <t>required_skills.years;preferred_skills.years</t>
  </si>
  <si>
    <t>skill_recency</t>
  </si>
  <si>
    <t>技能近期使用度</t>
  </si>
  <si>
    <t>技能近期使用度：仅依据已提供、与岗位相关且可核验的信息计算；缺失时标记unknown。</t>
  </si>
  <si>
    <t>skills.last_used_year</t>
  </si>
  <si>
    <t>required_skills;preferred_skills</t>
  </si>
  <si>
    <t>evidence_strength</t>
  </si>
  <si>
    <t>技能证据强度</t>
  </si>
  <si>
    <t>证据成果</t>
  </si>
  <si>
    <t>技能证据强度：仅依据已提供、与岗位相关且可核验的信息计算；缺失时标记unknown。</t>
  </si>
  <si>
    <t>skills.evidence</t>
  </si>
  <si>
    <t>quantified_impact</t>
  </si>
  <si>
    <t>量化成果强度</t>
  </si>
  <si>
    <t>量化成果强度：仅依据已提供、与岗位相关且可核验的信息计算；缺失时标记unknown。</t>
  </si>
  <si>
    <t>responsibility_overlap</t>
  </si>
  <si>
    <t>职责证据重合</t>
  </si>
  <si>
    <t>岗位履历</t>
  </si>
  <si>
    <t>职责证据重合：仅依据已提供、与岗位相关且可核验的信息计算；缺失时标记unknown。</t>
  </si>
  <si>
    <t>summary;experiences;skills.evidence</t>
  </si>
  <si>
    <t>responsibilities</t>
  </si>
  <si>
    <t>total_experience</t>
  </si>
  <si>
    <t>总经验年限</t>
  </si>
  <si>
    <t>总经验年限：仅依据已提供、与岗位相关且可核验的信息计算；缺失时标记unknown。</t>
  </si>
  <si>
    <t>experience_years</t>
  </si>
  <si>
    <t>min_experience_years</t>
  </si>
  <si>
    <t>industry_experience</t>
  </si>
  <si>
    <t>行业经验</t>
  </si>
  <si>
    <t>行业经验：仅依据已提供、与岗位相关且可核验的信息计算；缺失时标记unknown。</t>
  </si>
  <si>
    <t>industries;industry_experience</t>
  </si>
  <si>
    <t>industries</t>
  </si>
  <si>
    <t>seniority_alignment</t>
  </si>
  <si>
    <t>当前职级适配</t>
  </si>
  <si>
    <t>当前职级适配：仅依据已提供、与岗位相关且可核验的信息计算；缺失时标记unknown。</t>
  </si>
  <si>
    <t>current_seniority</t>
  </si>
  <si>
    <t>seniority</t>
  </si>
  <si>
    <t>project_complexity</t>
  </si>
  <si>
    <t>项目复杂度</t>
  </si>
  <si>
    <t>项目复杂度：仅依据已提供、与岗位相关且可核验的信息计算；缺失时标记unknown。</t>
  </si>
  <si>
    <t>project_complexity_required</t>
  </si>
  <si>
    <t>education_fit</t>
  </si>
  <si>
    <t>教育要求</t>
  </si>
  <si>
    <t>资格条件</t>
  </si>
  <si>
    <t>教育要求：仅依据已提供、与岗位相关且可核验的信息计算；缺失时标记unknown。</t>
  </si>
  <si>
    <t>education</t>
  </si>
  <si>
    <t>education.min_level</t>
  </si>
  <si>
    <t>certification_fit</t>
  </si>
  <si>
    <t>证书适配</t>
  </si>
  <si>
    <t>证书适配：仅依据已提供、与岗位相关且可核验的信息计算；缺失时标记unknown。</t>
  </si>
  <si>
    <t>certifications</t>
  </si>
  <si>
    <t>language_fit</t>
  </si>
  <si>
    <t>语言适配</t>
  </si>
  <si>
    <t>语言适配：仅依据已提供、与岗位相关且可核验的信息计算；缺失时标记unknown。</t>
  </si>
  <si>
    <t>languages</t>
  </si>
  <si>
    <t>leadership_experience</t>
  </si>
  <si>
    <t>领导经验</t>
  </si>
  <si>
    <t>协作领导</t>
  </si>
  <si>
    <t>领导经验：仅依据已提供、与岗位相关且可核验的信息计算；缺失时标记unknown。</t>
  </si>
  <si>
    <t>leadership_years</t>
  </si>
  <si>
    <t>leadership_required_years</t>
  </si>
  <si>
    <t>collaboration_evidence</t>
  </si>
  <si>
    <t>跨团队协作证据</t>
  </si>
  <si>
    <t>跨团队协作证据：仅依据已提供、与岗位相关且可核验的信息计算；缺失时标记unknown。</t>
  </si>
  <si>
    <t>collaboration_requirements</t>
  </si>
  <si>
    <t>location_feasibility</t>
  </si>
  <si>
    <t>地点可行性</t>
  </si>
  <si>
    <t>工作约束</t>
  </si>
  <si>
    <t>地点可行性：仅依据已提供、与岗位相关且可核验的信息计算；缺失时标记unknown。</t>
  </si>
  <si>
    <t>preferred_locations</t>
  </si>
  <si>
    <t>location</t>
  </si>
  <si>
    <t>work_mode_feasibility</t>
  </si>
  <si>
    <t>办公方式可行性</t>
  </si>
  <si>
    <t>办公方式可行性：仅依据已提供、与岗位相关且可核验的信息计算；缺失时标记unknown。</t>
  </si>
  <si>
    <t>preferred_work_modes</t>
  </si>
  <si>
    <t>work_modes</t>
  </si>
  <si>
    <t>employment_type_feasibility</t>
  </si>
  <si>
    <t>用工类型可行性</t>
  </si>
  <si>
    <t>用工类型可行性：仅依据已提供、与岗位相关且可核验的信息计算；缺失时标记unknown。</t>
  </si>
  <si>
    <t>employment_types</t>
  </si>
  <si>
    <t>employment_type</t>
  </si>
  <si>
    <t>availability_feasibility</t>
  </si>
  <si>
    <t>到岗时间可行性</t>
  </si>
  <si>
    <t>到岗时间可行性：仅依据已提供、与岗位相关且可核验的信息计算；缺失时标记unknown。</t>
  </si>
  <si>
    <t>availability</t>
  </si>
  <si>
    <t>availability_required</t>
  </si>
  <si>
    <t>skill_breadth</t>
  </si>
  <si>
    <t>技能广度</t>
  </si>
  <si>
    <t>技能广度：仅依据已提供、与岗位相关且可核验的信息计算；缺失时标记unknown。</t>
  </si>
  <si>
    <t>core_skill_depth</t>
  </si>
  <si>
    <t>核心技能深度</t>
  </si>
  <si>
    <t>核心技能深度：仅依据已提供、与岗位相关且可核验的信息计算；缺失时标记unknown。</t>
  </si>
  <si>
    <t>skills.level;skills.years</t>
  </si>
  <si>
    <t>required_skills.hard;required_skills.level;required_skills.years</t>
  </si>
  <si>
    <t>transferable_skill_readiness</t>
  </si>
  <si>
    <t>可迁移技能准备度</t>
  </si>
  <si>
    <t>可迁移技能准备度：仅依据已提供、与岗位相关且可核验的信息计算；缺失时标记unknown。</t>
  </si>
  <si>
    <t>transferable_skills;skills</t>
  </si>
  <si>
    <t>transferable_skill_requirements;required_skills</t>
  </si>
  <si>
    <t>toolchain_compatibility</t>
  </si>
  <si>
    <t>工具链兼容度</t>
  </si>
  <si>
    <t>工具链兼容度：仅依据已提供、与岗位相关且可核验的信息计算；缺失时标记unknown。</t>
  </si>
  <si>
    <t>toolchains</t>
  </si>
  <si>
    <t>domain_knowledge</t>
  </si>
  <si>
    <t>业务领域知识</t>
  </si>
  <si>
    <t>业务领域知识：仅依据已提供、与岗位相关且可核验的信息计算；缺失时标记unknown。</t>
  </si>
  <si>
    <t>achievement_consistency</t>
  </si>
  <si>
    <t>成果持续性</t>
  </si>
  <si>
    <t>成果持续性：仅依据已提供、与岗位相关且可核验的信息计算；缺失时标记unknown。</t>
  </si>
  <si>
    <t>experiences.achievements</t>
  </si>
  <si>
    <t>evidence_recency</t>
  </si>
  <si>
    <t>证据时效性</t>
  </si>
  <si>
    <t>证据时效性：仅依据已提供、与岗位相关且可核验的信息计算；缺失时标记unknown。</t>
  </si>
  <si>
    <t>skills.last_used_year;experiences.end</t>
  </si>
  <si>
    <t>outcome_relevance</t>
  </si>
  <si>
    <t>成果与岗位相关性</t>
  </si>
  <si>
    <t>成果与岗位相关性：仅依据已提供、与岗位相关且可核验的信息计算；缺失时标记unknown。</t>
  </si>
  <si>
    <t>experiences.achievements;skills.evidence</t>
  </si>
  <si>
    <t>ownership_evidence</t>
  </si>
  <si>
    <t>责任担当证据</t>
  </si>
  <si>
    <t>行为能力</t>
  </si>
  <si>
    <t>责任担当证据：仅依据已提供、与岗位相关且可核验的信息计算；缺失时标记unknown。</t>
  </si>
  <si>
    <t>ownership_expectations</t>
  </si>
  <si>
    <t>problem_solving_evidence</t>
  </si>
  <si>
    <t>问题解决证据</t>
  </si>
  <si>
    <t>问题解决证据：仅依据已提供、与岗位相关且可核验的信息计算；缺失时标记unknown。</t>
  </si>
  <si>
    <t>problem_solving_expectations</t>
  </si>
  <si>
    <t>communication_evidence</t>
  </si>
  <si>
    <t>沟通表达证据</t>
  </si>
  <si>
    <t>沟通表达证据：仅依据已提供、与岗位相关且可核验的信息计算；缺失时标记unknown。</t>
  </si>
  <si>
    <t>communication_expectations</t>
  </si>
  <si>
    <t>stakeholder_management</t>
  </si>
  <si>
    <t>利益相关方管理</t>
  </si>
  <si>
    <t>利益相关方管理：仅依据已提供、与岗位相关且可核验的信息计算；缺失时标记unknown。</t>
  </si>
  <si>
    <t>stakeholder_evidence</t>
  </si>
  <si>
    <t>stakeholder_expectations</t>
  </si>
  <si>
    <t>delivery_reliability</t>
  </si>
  <si>
    <t>交付可靠性</t>
  </si>
  <si>
    <t>交付可靠性：仅依据已提供、与岗位相关且可核验的信息计算；缺失时标记unknown。</t>
  </si>
  <si>
    <t>delivery_evidence</t>
  </si>
  <si>
    <t>delivery_expectations</t>
  </si>
  <si>
    <t>innovation_evidence</t>
  </si>
  <si>
    <t>创新实践证据</t>
  </si>
  <si>
    <t>创新实践证据：仅依据已提供、与岗位相关且可核验的信息计算；缺失时标记unknown。</t>
  </si>
  <si>
    <t>innovation_expectations</t>
  </si>
  <si>
    <t>risk_management_evidence</t>
  </si>
  <si>
    <t>风险管理证据</t>
  </si>
  <si>
    <t>风险管理证据：仅依据已提供、与岗位相关且可核验的信息计算；缺失时标记unknown。</t>
  </si>
  <si>
    <t>risk_management_expectations</t>
  </si>
  <si>
    <t>learning_agility</t>
  </si>
  <si>
    <t>学习敏捷性</t>
  </si>
  <si>
    <t>发展潜力</t>
  </si>
  <si>
    <t>学习敏捷性：仅依据已提供、与岗位相关且可核验的信息计算；缺失时标记unknown。</t>
  </si>
  <si>
    <t>learning_evidence</t>
  </si>
  <si>
    <t>learning_agility_expectations</t>
  </si>
  <si>
    <t>adaptability_evidence</t>
  </si>
  <si>
    <t>适应变化证据</t>
  </si>
  <si>
    <t>适应变化证据：仅依据已提供、与岗位相关且可核验的信息计算；缺失时标记unknown。</t>
  </si>
  <si>
    <t>adaptability_expectations</t>
  </si>
  <si>
    <t>decision_quality_evidence</t>
  </si>
  <si>
    <t>决策质量证据</t>
  </si>
  <si>
    <t>决策质量证据：仅依据已提供、与岗位相关且可核验的信息计算；缺失时标记unknown。</t>
  </si>
  <si>
    <t>decision_evidence</t>
  </si>
  <si>
    <t>decision_quality_expectations</t>
  </si>
  <si>
    <t>analytical_thinking</t>
  </si>
  <si>
    <t>分析思维</t>
  </si>
  <si>
    <t>分析思维：仅依据已提供、与岗位相关且可核验的信息计算；缺失时标记unknown。</t>
  </si>
  <si>
    <t>analytical_evidence</t>
  </si>
  <si>
    <t>analytical_expectations</t>
  </si>
  <si>
    <t>customer_orientation</t>
  </si>
  <si>
    <t>客户导向</t>
  </si>
  <si>
    <t>客户导向：仅依据已提供、与岗位相关且可核验的信息计算；缺失时标记unknown。</t>
  </si>
  <si>
    <t>customer_evidence</t>
  </si>
  <si>
    <t>customer_orientation_expectations</t>
  </si>
  <si>
    <t>compliance_awareness</t>
  </si>
  <si>
    <t>合规意识</t>
  </si>
  <si>
    <t>风险合规</t>
  </si>
  <si>
    <t>合规意识：仅依据已提供、与岗位相关且可核验的信息计算；缺失时标记unknown。</t>
  </si>
  <si>
    <t>compliance_evidence</t>
  </si>
  <si>
    <t>compliance_expectations</t>
  </si>
  <si>
    <t>target_role_alignment</t>
  </si>
  <si>
    <t>目标岗位匹配</t>
  </si>
  <si>
    <t>candidate</t>
  </si>
  <si>
    <t>岗位方向</t>
  </si>
  <si>
    <t>目标岗位匹配：仅依据已提供、与岗位相关且可核验的信息计算；缺失时标记unknown。</t>
  </si>
  <si>
    <t>target_roles</t>
  </si>
  <si>
    <t>title</t>
  </si>
  <si>
    <t>growth_goal_alignment</t>
  </si>
  <si>
    <t>成长目标匹配</t>
  </si>
  <si>
    <t>成长发展</t>
  </si>
  <si>
    <t>成长目标匹配：仅依据已提供、与岗位相关且可核验的信息计算；缺失时标记unknown。</t>
  </si>
  <si>
    <t>growth_goals</t>
  </si>
  <si>
    <t>growth_offerings</t>
  </si>
  <si>
    <t>learning_opportunity_alignment</t>
  </si>
  <si>
    <t>学习机会匹配</t>
  </si>
  <si>
    <t>学习机会匹配：仅依据已提供、与岗位相关且可核验的信息计算；缺失时标记unknown。</t>
  </si>
  <si>
    <t>learning_goals</t>
  </si>
  <si>
    <t>learning_offerings</t>
  </si>
  <si>
    <t>compensation_alignment</t>
  </si>
  <si>
    <t>薪酬区间匹配</t>
  </si>
  <si>
    <t>回报福利</t>
  </si>
  <si>
    <t>薪酬区间匹配：仅依据已提供、与岗位相关且可核验的信息计算；缺失时标记unknown。</t>
  </si>
  <si>
    <t>salary_expectation</t>
  </si>
  <si>
    <t>salary_range</t>
  </si>
  <si>
    <t>location_preference_alignment</t>
  </si>
  <si>
    <t>地点偏好匹配</t>
  </si>
  <si>
    <t>工作安排</t>
  </si>
  <si>
    <t>地点偏好匹配：仅依据已提供、与岗位相关且可核验的信息计算；缺失时标记unknown。</t>
  </si>
  <si>
    <t>work_mode_preference_alignment</t>
  </si>
  <si>
    <t>办公方式偏好</t>
  </si>
  <si>
    <t>办公方式偏好：仅依据已提供、与岗位相关且可核验的信息计算；缺失时标记unknown。</t>
  </si>
  <si>
    <t>employment_type_preference</t>
  </si>
  <si>
    <t>用工类型偏好</t>
  </si>
  <si>
    <t>用工类型偏好：仅依据已提供、与岗位相关且可核验的信息计算；缺失时标记unknown。</t>
  </si>
  <si>
    <t>start_date_alignment</t>
  </si>
  <si>
    <t>入职时间匹配</t>
  </si>
  <si>
    <t>入职时间匹配：仅依据已提供、与岗位相关且可核验的信息计算；缺失时标记unknown。</t>
  </si>
  <si>
    <t>values_alignment</t>
  </si>
  <si>
    <t>工作价值观匹配</t>
  </si>
  <si>
    <t>文化价值</t>
  </si>
  <si>
    <t>工作价值观匹配：仅依据已提供、与岗位相关且可核验的信息计算；缺失时标记unknown。</t>
  </si>
  <si>
    <t>values</t>
  </si>
  <si>
    <t>industry_interest_alignment</t>
  </si>
  <si>
    <t>行业兴趣匹配</t>
  </si>
  <si>
    <t>行业兴趣匹配：仅依据已提供、与岗位相关且可核验的信息计算；缺失时标记unknown。</t>
  </si>
  <si>
    <t>industry_interests</t>
  </si>
  <si>
    <t>seniority_preference_alignment</t>
  </si>
  <si>
    <t>期望职级匹配</t>
  </si>
  <si>
    <t>期望职级匹配：仅依据已提供、与岗位相关且可核验的信息计算；缺失时标记unknown。</t>
  </si>
  <si>
    <t>desired_seniority;current_seniority</t>
  </si>
  <si>
    <t>workload_preference_alignment</t>
  </si>
  <si>
    <t>工作强度偏好</t>
  </si>
  <si>
    <t>工作强度偏好：仅依据已提供、与岗位相关且可核验的信息计算；缺失时标记unknown。</t>
  </si>
  <si>
    <t>preferred_workload</t>
  </si>
  <si>
    <t>workload</t>
  </si>
  <si>
    <t>travel_preference_alignment</t>
  </si>
  <si>
    <t>出差偏好</t>
  </si>
  <si>
    <t>出差偏好：仅依据已提供、与岗位相关且可核验的信息计算；缺失时标记unknown。</t>
  </si>
  <si>
    <t>travel_preference</t>
  </si>
  <si>
    <t>travel_requirement</t>
  </si>
  <si>
    <t>team_culture_alignment</t>
  </si>
  <si>
    <t>团队文化匹配</t>
  </si>
  <si>
    <t>团队文化匹配：仅依据已提供、与岗位相关且可核验的信息计算；缺失时标记unknown。</t>
  </si>
  <si>
    <t>team_culture_preferences</t>
  </si>
  <si>
    <t>team_culture</t>
  </si>
  <si>
    <t>role_stability_alignment</t>
  </si>
  <si>
    <t>岗位稳定性匹配</t>
  </si>
  <si>
    <t>岗位稳定性匹配：仅依据已提供、与岗位相关且可核验的信息计算；缺失时标记unknown。</t>
  </si>
  <si>
    <t>role_stability_preference</t>
  </si>
  <si>
    <t>role_stability</t>
  </si>
  <si>
    <t>benefits_alignment</t>
  </si>
  <si>
    <t>福利匹配</t>
  </si>
  <si>
    <t>福利匹配：仅依据已提供、与岗位相关且可核验的信息计算；缺失时标记unknown。</t>
  </si>
  <si>
    <t>benefit_preferences</t>
  </si>
  <si>
    <t>benefits</t>
  </si>
  <si>
    <t>manager_style_alignment</t>
  </si>
  <si>
    <t>管理方式匹配</t>
  </si>
  <si>
    <t>管理方式匹配：仅依据已提供、与岗位相关且可核验的信息计算；缺失时标记unknown。</t>
  </si>
  <si>
    <t>manager_style_preferences</t>
  </si>
  <si>
    <t>manager_style</t>
  </si>
  <si>
    <t>career_path_alignment</t>
  </si>
  <si>
    <t>职业路径匹配</t>
  </si>
  <si>
    <t>职业路径匹配：仅依据已提供、与岗位相关且可核验的信息计算；缺失时标记unknown。</t>
  </si>
  <si>
    <t>career_path_goals</t>
  </si>
  <si>
    <t>career_paths</t>
  </si>
  <si>
    <t>role_mission_alignment</t>
  </si>
  <si>
    <t>岗位使命认同</t>
  </si>
  <si>
    <t>岗位使命认同：仅依据已提供、与岗位相关且可核验的信息计算；缺失时标记unknown。</t>
  </si>
  <si>
    <t>role_mission_preferences</t>
  </si>
  <si>
    <t>role_mission</t>
  </si>
  <si>
    <t>daily_task_interest</t>
  </si>
  <si>
    <t>日常任务兴趣</t>
  </si>
  <si>
    <t>日常任务兴趣：仅依据已提供、与岗位相关且可核验的信息计算；缺失时标记unknown。</t>
  </si>
  <si>
    <t>daily_task_interests</t>
  </si>
  <si>
    <t>daily_tasks</t>
  </si>
  <si>
    <t>autonomy_preference_alignment</t>
  </si>
  <si>
    <t>自主权偏好</t>
  </si>
  <si>
    <t>工作体验</t>
  </si>
  <si>
    <t>自主权偏好：仅依据已提供、与岗位相关且可核验的信息计算；缺失时标记unknown。</t>
  </si>
  <si>
    <t>autonomy_preference</t>
  </si>
  <si>
    <t>autonomy_level</t>
  </si>
  <si>
    <t>feedback_frequency_alignment</t>
  </si>
  <si>
    <t>反馈频率偏好</t>
  </si>
  <si>
    <t>反馈频率偏好：仅依据已提供、与岗位相关且可核验的信息计算；缺失时标记unknown。</t>
  </si>
  <si>
    <t>feedback_frequency_preference</t>
  </si>
  <si>
    <t>feedback_frequency</t>
  </si>
  <si>
    <t>collaboration_style_alignment</t>
  </si>
  <si>
    <t>协作方式偏好</t>
  </si>
  <si>
    <t>协作方式偏好：仅依据已提供、与岗位相关且可核验的信息计算；缺失时标记unknown。</t>
  </si>
  <si>
    <t>collaboration_style_preferences</t>
  </si>
  <si>
    <t>collaboration_style</t>
  </si>
  <si>
    <t>decision_style_alignment</t>
  </si>
  <si>
    <t>决策方式偏好</t>
  </si>
  <si>
    <t>决策方式偏好：仅依据已提供、与岗位相关且可核验的信息计算；缺失时标记unknown。</t>
  </si>
  <si>
    <t>decision_style_preferences</t>
  </si>
  <si>
    <t>decision_style</t>
  </si>
  <si>
    <t>pace_preference_alignment</t>
  </si>
  <si>
    <t>工作节奏偏好</t>
  </si>
  <si>
    <t>工作节奏偏好：仅依据已提供、与岗位相关且可核验的信息计算；缺失时标记unknown。</t>
  </si>
  <si>
    <t>pace_preference</t>
  </si>
  <si>
    <t>pace</t>
  </si>
  <si>
    <t>innovation_environment_alignment</t>
  </si>
  <si>
    <t>创新环境偏好</t>
  </si>
  <si>
    <t>创新环境偏好：仅依据已提供、与岗位相关且可核验的信息计算；缺失时标记unknown。</t>
  </si>
  <si>
    <t>innovation_environment_preferences</t>
  </si>
  <si>
    <t>innovation_environment</t>
  </si>
  <si>
    <t>learning_budget_alignment</t>
  </si>
  <si>
    <t>学习预算匹配</t>
  </si>
  <si>
    <t>学习预算匹配：仅依据已提供、与岗位相关且可核验的信息计算；缺失时标记unknown。</t>
  </si>
  <si>
    <t>learning_budget_expectation</t>
  </si>
  <si>
    <t>learning_budget</t>
  </si>
  <si>
    <t>mentorship_access_alignment</t>
  </si>
  <si>
    <t>导师资源匹配</t>
  </si>
  <si>
    <t>导师资源匹配：仅依据已提供、与岗位相关且可核验的信息计算；缺失时标记unknown。</t>
  </si>
  <si>
    <t>mentorship_preferences</t>
  </si>
  <si>
    <t>mentorship</t>
  </si>
  <si>
    <t>promotion_clarity_alignment</t>
  </si>
  <si>
    <t>晋升透明度匹配</t>
  </si>
  <si>
    <t>晋升透明度匹配：仅依据已提供、与岗位相关且可核验的信息计算；缺失时标记unknown。</t>
  </si>
  <si>
    <t>promotion_clarity_preference</t>
  </si>
  <si>
    <t>promotion_clarity</t>
  </si>
  <si>
    <t>compensation_structure_alignment</t>
  </si>
  <si>
    <t>薪酬结构偏好</t>
  </si>
  <si>
    <t>薪酬结构偏好：仅依据已提供、与岗位相关且可核验的信息计算；缺失时标记unknown。</t>
  </si>
  <si>
    <t>compensation_structure_preferences</t>
  </si>
  <si>
    <t>compensation_structure</t>
  </si>
  <si>
    <t>bonus_expectation_alignment</t>
  </si>
  <si>
    <t>奖金期望匹配</t>
  </si>
  <si>
    <t>奖金期望匹配：仅依据已提供、与岗位相关且可核验的信息计算；缺失时标记unknown。</t>
  </si>
  <si>
    <t>bonus_expectation</t>
  </si>
  <si>
    <t>bonus_range</t>
  </si>
  <si>
    <t>annual_leave_alignment</t>
  </si>
  <si>
    <t>年假匹配</t>
  </si>
  <si>
    <t>年假匹配：仅依据已提供、与岗位相关且可核验的信息计算；缺失时标记unknown。</t>
  </si>
  <si>
    <t>min_annual_leave_days</t>
  </si>
  <si>
    <t>annual_leave_days</t>
  </si>
  <si>
    <t>schedule_flexibility_alignment</t>
  </si>
  <si>
    <t>工时灵活性</t>
  </si>
  <si>
    <t>工时灵活性：仅依据已提供、与岗位相关且可核验的信息计算；缺失时标记unknown。</t>
  </si>
  <si>
    <t>schedule_flexibility_preferences</t>
  </si>
  <si>
    <t>schedule_flexibility</t>
  </si>
  <si>
    <t>commute_feasibility</t>
  </si>
  <si>
    <t>通勤可行性</t>
  </si>
  <si>
    <t>通勤可行性：仅依据已提供、与岗位相关且可核验的信息计算；缺失时标记unknown。</t>
  </si>
  <si>
    <t>max_commute_minutes</t>
  </si>
  <si>
    <t>commute_minutes</t>
  </si>
  <si>
    <t>travel_burden_alignment</t>
  </si>
  <si>
    <t>出差负担匹配</t>
  </si>
  <si>
    <t>出差负担匹配：仅依据已提供、与岗位相关且可核验的信息计算；缺失时标记unknown。</t>
  </si>
  <si>
    <t>max_travel_days_per_month</t>
  </si>
  <si>
    <t>travel_days_per_month</t>
  </si>
  <si>
    <t>job_security_alignment</t>
  </si>
  <si>
    <t>就业安全感匹配</t>
  </si>
  <si>
    <t>就业安全感匹配：仅依据已提供、与岗位相关且可核验的信息计算；缺失时标记unknown。</t>
  </si>
  <si>
    <t>job_security_preference</t>
  </si>
  <si>
    <t>job_security</t>
  </si>
  <si>
    <t>purpose_alignment</t>
  </si>
  <si>
    <t>工作意义匹配</t>
  </si>
  <si>
    <t>工作意义匹配：仅依据已提供、与岗位相关且可核验的信息计算；缺失时标记unknown。</t>
  </si>
  <si>
    <t>purpose_preferences</t>
  </si>
  <si>
    <t>purpose</t>
  </si>
  <si>
    <t>psychological_safety_alignment</t>
  </si>
  <si>
    <t>心理安全氛围</t>
  </si>
  <si>
    <t>心理安全氛围：仅依据已提供、与岗位相关且可核验的信息计算；缺失时标记unknown。</t>
  </si>
  <si>
    <t>psychological_safety_preferences</t>
  </si>
  <si>
    <t>psychological_safety</t>
  </si>
  <si>
    <t>overall_recruiter</t>
  </si>
  <si>
    <t>企业侧合成系数</t>
  </si>
  <si>
    <t>overall</t>
  </si>
  <si>
    <t>双向合成</t>
  </si>
  <si>
    <t>企业侧与求职者侧分数的加权调和平均</t>
  </si>
  <si>
    <t>required</t>
  </si>
  <si>
    <t>控制企业侧得分在综合分中的影响。</t>
  </si>
  <si>
    <t>404</t>
  </si>
  <si>
    <t>overall_candidate</t>
  </si>
  <si>
    <t>求职者侧合成系数</t>
  </si>
  <si>
    <t>控制求职者侧得分在综合分中的影响。</t>
  </si>
  <si>
    <t>TalentLens 80项匹配指标｜结构与权重模板检查</t>
  </si>
  <si>
    <t>核心校验</t>
  </si>
  <si>
    <t>当前值</t>
  </si>
  <si>
    <t>匹配指标数</t>
  </si>
  <si>
    <t>企业侧指标数</t>
  </si>
  <si>
    <t>求职者侧指标数</t>
  </si>
  <si>
    <t>系数越界数</t>
  </si>
  <si>
    <t>岗位权重模板数</t>
  </si>
  <si>
    <t>指标数量</t>
  </si>
  <si>
    <t>系数合计</t>
  </si>
  <si>
    <t>基础判断标准：修改“匹配指标配置”第一列，范围0–10。</t>
  </si>
  <si>
    <t>岗位模板：在“岗位权重模板”中修改覆盖系数；未列出的指标继续使用基础系数。</t>
  </si>
  <si>
    <t>调用时选择 general、software_engineering、product_operations 或 sales_customer；下一次请求会重新读取工作簿。</t>
  </si>
  <si>
    <t>模板ID</t>
  </si>
  <si>
    <t>模板名称</t>
  </si>
  <si>
    <t>版本</t>
  </si>
  <si>
    <t>适用岗位关键词</t>
  </si>
  <si>
    <t>指标ID（留空表示模板元数据）</t>
  </si>
  <si>
    <t>覆盖系数（0-10）</t>
  </si>
  <si>
    <t>调整理由</t>
  </si>
  <si>
    <t>基础系数（自动）</t>
  </si>
  <si>
    <t>变化（自动）</t>
  </si>
  <si>
    <t>general</t>
  </si>
  <si>
    <t>通用岗位</t>
  </si>
  <si>
    <t>1.0</t>
  </si>
  <si>
    <t>全部岗位；未命中的指标沿用基础系数</t>
  </si>
  <si>
    <t/>
  </si>
  <si>
    <t>默认模板，不覆盖基础系数</t>
  </si>
  <si>
    <t>software_engineering</t>
  </si>
  <si>
    <t>软件工程</t>
  </si>
  <si>
    <t>软件、后端、前端、客户端、测试、算法、数据工程</t>
  </si>
  <si>
    <t>核心技术要求应完整覆盖</t>
  </si>
  <si>
    <t>提高核心技能深度的区分度</t>
  </si>
  <si>
    <t>重视可持续使用经验</t>
  </si>
  <si>
    <t>代码、项目与交付证据优先</t>
  </si>
  <si>
    <t>技能需服务于实际职责</t>
  </si>
  <si>
    <t>工具链影响上手速度</t>
  </si>
  <si>
    <t>复杂问题定位与解决是关键行为</t>
  </si>
  <si>
    <t>关注工程交付稳定性</t>
  </si>
  <si>
    <t>技术更新要求持续学习</t>
  </si>
  <si>
    <t>保留双向约束但避免盖过核心能力</t>
  </si>
  <si>
    <t>product_operations</t>
  </si>
  <si>
    <t>产品与运营</t>
  </si>
  <si>
    <t>产品经理、产品运营、用户运营、内容运营、增长运营</t>
  </si>
  <si>
    <t>岗位职责与真实经历是主线</t>
  </si>
  <si>
    <t>业务语境影响判断质量</t>
  </si>
  <si>
    <t>跨团队推动是核心能力</t>
  </si>
  <si>
    <t>强调数据分析和问题拆解</t>
  </si>
  <si>
    <t>关注用户需求和反馈闭环</t>
  </si>
  <si>
    <t>方案表达和沟通质量重要</t>
  </si>
  <si>
    <t>结果需要与业务目标相关</t>
  </si>
  <si>
    <t>长期任务兴趣影响留任与表现</t>
  </si>
  <si>
    <t>岗位方向需与个人目标一致</t>
  </si>
  <si>
    <t>重视成长路径的双向匹配</t>
  </si>
  <si>
    <t>sales_customer</t>
  </si>
  <si>
    <t>销售与客户成功</t>
  </si>
  <si>
    <t>销售、商务、渠道、客户成功、售前、客户运营</t>
  </si>
  <si>
    <t>客户需求识别和价值交付是核心</t>
  </si>
  <si>
    <t>沟通影响客户信任和推进效率</t>
  </si>
  <si>
    <t>需要协调客户和内部资源</t>
  </si>
  <si>
    <t>业绩、转化和续约结果应可量化</t>
  </si>
  <si>
    <t>证据需对应收入或客户结果</t>
  </si>
  <si>
    <t>行业理解影响客户沟通效率</t>
  </si>
  <si>
    <t>出差边界是重要双向约束</t>
  </si>
  <si>
    <t>薪酬结构与目标机制需匹配</t>
  </si>
  <si>
    <t>固定与浮动结构影响岗位接受度</t>
  </si>
  <si>
    <t>岗位方向与个人目标需一致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</si>
</sst>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243B53"/>
      <name val="Carlito"/>
      <charset val="134"/>
    </font>
    <font>
      <b/>
      <sz val="11"/>
      <color rgb="FF7A4E00"/>
      <name val="Carlito"/>
      <charset val="134"/>
    </font>
    <font>
      <b/>
      <sz val="16"/>
      <color rgb="FFFFFFFF"/>
      <name val="Carlito"/>
      <charset val="134"/>
    </font>
    <font>
      <b/>
      <sz val="18"/>
      <color rgb="FFFFFFFF"/>
      <name val="Carlito"/>
      <charset val="134"/>
    </font>
    <font>
      <b/>
      <sz val="14"/>
      <color rgb="FF8F1D2C"/>
      <name val="Carlito"/>
      <charset val="134"/>
    </font>
    <font>
      <sz val="11"/>
      <color rgb="FF7A4E0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B1C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3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8F1D2C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0" fillId="0" borderId="0" xfId="49" applyFill="1"/>
    <xf numFmtId="0" fontId="4" fillId="5" borderId="0" xfId="0" applyNumberFormat="1" applyFont="1" applyFill="1" applyBorder="1" applyAlignment="1">
      <alignment horizontal="center" vertical="center"/>
    </xf>
    <xf numFmtId="0" fontId="5" fillId="0" borderId="0" xfId="49" applyNumberFormat="1" applyFont="1" applyFill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" fillId="6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vertical="center" wrapText="1"/>
    </xf>
    <xf numFmtId="0" fontId="7" fillId="3" borderId="0" xfId="0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1" fillId="7" borderId="1" xfId="49" applyNumberFormat="1" applyFont="1" applyFill="1" applyBorder="1" applyAlignment="1">
      <alignment horizontal="center" vertical="center" wrapText="1"/>
    </xf>
    <xf numFmtId="2" fontId="3" fillId="8" borderId="1" xfId="49" applyNumberFormat="1" applyFont="1" applyFill="1" applyBorder="1" applyAlignment="1">
      <alignment horizontal="center" wrapText="1"/>
    </xf>
    <xf numFmtId="0" fontId="0" fillId="0" borderId="1" xfId="49" applyNumberFormat="1" applyFont="1" applyFill="1" applyBorder="1" applyAlignment="1">
      <alignment horizontal="center" wrapText="1"/>
    </xf>
    <xf numFmtId="2" fontId="3" fillId="8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JobWeightProfiles" displayName="JobWeightProfiles" ref="A1:I32" totalsRowShown="0">
  <tableColumns count="9">
    <tableColumn id="1" name="模板ID" dataDxfId="0"/>
    <tableColumn id="2" name="模板名称" dataDxfId="1"/>
    <tableColumn id="3" name="版本" dataDxfId="2"/>
    <tableColumn id="4" name="适用岗位关键词" dataDxfId="3"/>
    <tableColumn id="5" name="指标ID（留空表示模板元数据）" dataDxfId="4"/>
    <tableColumn id="6" name="覆盖系数（0-10）" dataDxfId="5"/>
    <tableColumn id="7" name="调整理由" dataDxfId="6"/>
    <tableColumn id="8" name="基础系数（自动）" dataDxfId="7"/>
    <tableColumn id="9" name="变化（自动）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showGridLines="0" tabSelected="1" zoomScale="70" zoomScaleNormal="70" topLeftCell="A70" workbookViewId="0">
      <selection activeCell="G90" sqref="G90"/>
    </sheetView>
  </sheetViews>
  <sheetFormatPr defaultColWidth="9" defaultRowHeight="14"/>
  <cols>
    <col min="1" max="1" width="17" customWidth="1"/>
    <col min="2" max="2" width="29" customWidth="1"/>
    <col min="3" max="3" width="18" customWidth="1"/>
    <col min="4" max="6" width="12" customWidth="1"/>
    <col min="7" max="7" width="38" customWidth="1"/>
    <col min="8" max="8" width="14" customWidth="1"/>
    <col min="9" max="9" width="42" customWidth="1"/>
    <col min="10" max="11" width="34" customWidth="1"/>
  </cols>
  <sheetData>
    <row r="1" ht="38" customHeight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ht="34" customHeight="1" spans="1:11">
      <c r="A2" s="19">
        <v>10</v>
      </c>
      <c r="B2" s="20" t="s">
        <v>11</v>
      </c>
      <c r="C2" s="20" t="s">
        <v>12</v>
      </c>
      <c r="D2" s="20" t="s">
        <v>13</v>
      </c>
      <c r="E2" s="20" t="s">
        <v>14</v>
      </c>
      <c r="F2" s="20" t="b">
        <v>1</v>
      </c>
      <c r="G2" s="20" t="s">
        <v>15</v>
      </c>
      <c r="H2" s="20" t="s">
        <v>16</v>
      </c>
      <c r="I2" s="20" t="s">
        <v>17</v>
      </c>
      <c r="J2" s="20" t="s">
        <v>18</v>
      </c>
      <c r="K2" s="20" t="s">
        <v>19</v>
      </c>
    </row>
    <row r="3" ht="34" customHeight="1" spans="1:11">
      <c r="A3" s="19">
        <v>6</v>
      </c>
      <c r="B3" s="20" t="s">
        <v>20</v>
      </c>
      <c r="C3" s="20" t="s">
        <v>21</v>
      </c>
      <c r="D3" s="20" t="s">
        <v>13</v>
      </c>
      <c r="E3" s="20" t="s">
        <v>14</v>
      </c>
      <c r="F3" s="20" t="b">
        <v>1</v>
      </c>
      <c r="G3" s="20" t="s">
        <v>15</v>
      </c>
      <c r="H3" s="20" t="s">
        <v>16</v>
      </c>
      <c r="I3" s="20" t="s">
        <v>22</v>
      </c>
      <c r="J3" s="20" t="s">
        <v>18</v>
      </c>
      <c r="K3" s="20" t="s">
        <v>23</v>
      </c>
    </row>
    <row r="4" ht="34" customHeight="1" spans="1:11">
      <c r="A4" s="19">
        <v>8</v>
      </c>
      <c r="B4" s="20" t="s">
        <v>24</v>
      </c>
      <c r="C4" s="20" t="s">
        <v>25</v>
      </c>
      <c r="D4" s="20" t="s">
        <v>13</v>
      </c>
      <c r="E4" s="20" t="s">
        <v>14</v>
      </c>
      <c r="F4" s="20" t="b">
        <v>1</v>
      </c>
      <c r="G4" s="20" t="s">
        <v>15</v>
      </c>
      <c r="H4" s="20" t="s">
        <v>16</v>
      </c>
      <c r="I4" s="20" t="s">
        <v>26</v>
      </c>
      <c r="J4" s="20" t="s">
        <v>27</v>
      </c>
      <c r="K4" s="20" t="s">
        <v>28</v>
      </c>
    </row>
    <row r="5" ht="34" customHeight="1" spans="1:11">
      <c r="A5" s="19">
        <v>7</v>
      </c>
      <c r="B5" s="20" t="s">
        <v>29</v>
      </c>
      <c r="C5" s="20" t="s">
        <v>30</v>
      </c>
      <c r="D5" s="20" t="s">
        <v>13</v>
      </c>
      <c r="E5" s="20" t="s">
        <v>14</v>
      </c>
      <c r="F5" s="20" t="b">
        <v>1</v>
      </c>
      <c r="G5" s="20" t="s">
        <v>15</v>
      </c>
      <c r="H5" s="20" t="s">
        <v>16</v>
      </c>
      <c r="I5" s="20" t="s">
        <v>31</v>
      </c>
      <c r="J5" s="20" t="s">
        <v>32</v>
      </c>
      <c r="K5" s="20" t="s">
        <v>33</v>
      </c>
    </row>
    <row r="6" ht="34" customHeight="1" spans="1:11">
      <c r="A6" s="19">
        <v>6</v>
      </c>
      <c r="B6" s="20" t="s">
        <v>34</v>
      </c>
      <c r="C6" s="20" t="s">
        <v>35</v>
      </c>
      <c r="D6" s="20" t="s">
        <v>13</v>
      </c>
      <c r="E6" s="20" t="s">
        <v>14</v>
      </c>
      <c r="F6" s="20" t="b">
        <v>1</v>
      </c>
      <c r="G6" s="20" t="s">
        <v>15</v>
      </c>
      <c r="H6" s="20" t="s">
        <v>16</v>
      </c>
      <c r="I6" s="20" t="s">
        <v>36</v>
      </c>
      <c r="J6" s="20" t="s">
        <v>37</v>
      </c>
      <c r="K6" s="20" t="s">
        <v>38</v>
      </c>
    </row>
    <row r="7" ht="34" customHeight="1" spans="1:11">
      <c r="A7" s="19">
        <v>8</v>
      </c>
      <c r="B7" s="20" t="s">
        <v>39</v>
      </c>
      <c r="C7" s="20" t="s">
        <v>40</v>
      </c>
      <c r="D7" s="20" t="s">
        <v>13</v>
      </c>
      <c r="E7" s="20" t="s">
        <v>41</v>
      </c>
      <c r="F7" s="20" t="b">
        <v>1</v>
      </c>
      <c r="G7" s="20" t="s">
        <v>15</v>
      </c>
      <c r="H7" s="20" t="s">
        <v>16</v>
      </c>
      <c r="I7" s="20" t="s">
        <v>42</v>
      </c>
      <c r="J7" s="20" t="s">
        <v>43</v>
      </c>
      <c r="K7" s="20" t="s">
        <v>38</v>
      </c>
    </row>
    <row r="8" ht="34" customHeight="1" spans="1:11">
      <c r="A8" s="19">
        <v>7</v>
      </c>
      <c r="B8" s="20" t="s">
        <v>44</v>
      </c>
      <c r="C8" s="20" t="s">
        <v>45</v>
      </c>
      <c r="D8" s="20" t="s">
        <v>13</v>
      </c>
      <c r="E8" s="20" t="s">
        <v>41</v>
      </c>
      <c r="F8" s="20" t="b">
        <v>1</v>
      </c>
      <c r="G8" s="20" t="s">
        <v>15</v>
      </c>
      <c r="H8" s="20" t="s">
        <v>16</v>
      </c>
      <c r="I8" s="20" t="s">
        <v>46</v>
      </c>
      <c r="J8" s="20" t="s">
        <v>43</v>
      </c>
      <c r="K8" s="20" t="s">
        <v>38</v>
      </c>
    </row>
    <row r="9" ht="34" customHeight="1" spans="1:11">
      <c r="A9" s="19">
        <v>9</v>
      </c>
      <c r="B9" s="20" t="s">
        <v>47</v>
      </c>
      <c r="C9" s="20" t="s">
        <v>48</v>
      </c>
      <c r="D9" s="20" t="s">
        <v>13</v>
      </c>
      <c r="E9" s="20" t="s">
        <v>49</v>
      </c>
      <c r="F9" s="20" t="b">
        <v>1</v>
      </c>
      <c r="G9" s="20" t="s">
        <v>15</v>
      </c>
      <c r="H9" s="20" t="s">
        <v>16</v>
      </c>
      <c r="I9" s="20" t="s">
        <v>50</v>
      </c>
      <c r="J9" s="20" t="s">
        <v>51</v>
      </c>
      <c r="K9" s="20" t="s">
        <v>52</v>
      </c>
    </row>
    <row r="10" ht="34" customHeight="1" spans="1:11">
      <c r="A10" s="19">
        <v>8</v>
      </c>
      <c r="B10" s="20" t="s">
        <v>53</v>
      </c>
      <c r="C10" s="20" t="s">
        <v>54</v>
      </c>
      <c r="D10" s="20" t="s">
        <v>13</v>
      </c>
      <c r="E10" s="20" t="s">
        <v>49</v>
      </c>
      <c r="F10" s="20" t="b">
        <v>1</v>
      </c>
      <c r="G10" s="20" t="s">
        <v>15</v>
      </c>
      <c r="H10" s="20" t="s">
        <v>16</v>
      </c>
      <c r="I10" s="20" t="s">
        <v>55</v>
      </c>
      <c r="J10" s="20" t="s">
        <v>56</v>
      </c>
      <c r="K10" s="20" t="s">
        <v>57</v>
      </c>
    </row>
    <row r="11" ht="34" customHeight="1" spans="1:11">
      <c r="A11" s="19">
        <v>6</v>
      </c>
      <c r="B11" s="20" t="s">
        <v>58</v>
      </c>
      <c r="C11" s="20" t="s">
        <v>59</v>
      </c>
      <c r="D11" s="20" t="s">
        <v>13</v>
      </c>
      <c r="E11" s="20" t="s">
        <v>49</v>
      </c>
      <c r="F11" s="20" t="b">
        <v>1</v>
      </c>
      <c r="G11" s="20" t="s">
        <v>15</v>
      </c>
      <c r="H11" s="20" t="s">
        <v>16</v>
      </c>
      <c r="I11" s="20" t="s">
        <v>60</v>
      </c>
      <c r="J11" s="20" t="s">
        <v>61</v>
      </c>
      <c r="K11" s="20" t="s">
        <v>62</v>
      </c>
    </row>
    <row r="12" ht="34" customHeight="1" spans="1:11">
      <c r="A12" s="19">
        <v>6</v>
      </c>
      <c r="B12" s="20" t="s">
        <v>63</v>
      </c>
      <c r="C12" s="20" t="s">
        <v>64</v>
      </c>
      <c r="D12" s="20" t="s">
        <v>13</v>
      </c>
      <c r="E12" s="20" t="s">
        <v>49</v>
      </c>
      <c r="F12" s="20" t="b">
        <v>1</v>
      </c>
      <c r="G12" s="20" t="s">
        <v>15</v>
      </c>
      <c r="H12" s="20" t="s">
        <v>16</v>
      </c>
      <c r="I12" s="20" t="s">
        <v>65</v>
      </c>
      <c r="J12" s="20" t="s">
        <v>66</v>
      </c>
      <c r="K12" s="20" t="s">
        <v>67</v>
      </c>
    </row>
    <row r="13" ht="34" customHeight="1" spans="1:11">
      <c r="A13" s="19">
        <v>5</v>
      </c>
      <c r="B13" s="20" t="s">
        <v>68</v>
      </c>
      <c r="C13" s="20" t="s">
        <v>69</v>
      </c>
      <c r="D13" s="20" t="s">
        <v>13</v>
      </c>
      <c r="E13" s="20" t="s">
        <v>49</v>
      </c>
      <c r="F13" s="20" t="b">
        <v>1</v>
      </c>
      <c r="G13" s="20" t="s">
        <v>15</v>
      </c>
      <c r="H13" s="20" t="s">
        <v>16</v>
      </c>
      <c r="I13" s="20" t="s">
        <v>70</v>
      </c>
      <c r="J13" s="20" t="s">
        <v>68</v>
      </c>
      <c r="K13" s="20" t="s">
        <v>71</v>
      </c>
    </row>
    <row r="14" ht="34" customHeight="1" spans="1:11">
      <c r="A14" s="19">
        <v>4</v>
      </c>
      <c r="B14" s="20" t="s">
        <v>72</v>
      </c>
      <c r="C14" s="20" t="s">
        <v>73</v>
      </c>
      <c r="D14" s="20" t="s">
        <v>13</v>
      </c>
      <c r="E14" s="20" t="s">
        <v>74</v>
      </c>
      <c r="F14" s="20" t="b">
        <v>1</v>
      </c>
      <c r="G14" s="20" t="s">
        <v>15</v>
      </c>
      <c r="H14" s="20" t="s">
        <v>16</v>
      </c>
      <c r="I14" s="20" t="s">
        <v>75</v>
      </c>
      <c r="J14" s="20" t="s">
        <v>76</v>
      </c>
      <c r="K14" s="20" t="s">
        <v>77</v>
      </c>
    </row>
    <row r="15" ht="34" customHeight="1" spans="1:11">
      <c r="A15" s="19">
        <v>4</v>
      </c>
      <c r="B15" s="20" t="s">
        <v>78</v>
      </c>
      <c r="C15" s="20" t="s">
        <v>79</v>
      </c>
      <c r="D15" s="20" t="s">
        <v>13</v>
      </c>
      <c r="E15" s="20" t="s">
        <v>74</v>
      </c>
      <c r="F15" s="20" t="b">
        <v>1</v>
      </c>
      <c r="G15" s="20" t="s">
        <v>15</v>
      </c>
      <c r="H15" s="20" t="s">
        <v>16</v>
      </c>
      <c r="I15" s="20" t="s">
        <v>80</v>
      </c>
      <c r="J15" s="20" t="s">
        <v>81</v>
      </c>
      <c r="K15" s="20" t="s">
        <v>81</v>
      </c>
    </row>
    <row r="16" ht="34" customHeight="1" spans="1:11">
      <c r="A16" s="19">
        <v>4</v>
      </c>
      <c r="B16" s="20" t="s">
        <v>82</v>
      </c>
      <c r="C16" s="20" t="s">
        <v>83</v>
      </c>
      <c r="D16" s="20" t="s">
        <v>13</v>
      </c>
      <c r="E16" s="20" t="s">
        <v>74</v>
      </c>
      <c r="F16" s="20" t="b">
        <v>1</v>
      </c>
      <c r="G16" s="20" t="s">
        <v>15</v>
      </c>
      <c r="H16" s="20" t="s">
        <v>16</v>
      </c>
      <c r="I16" s="20" t="s">
        <v>84</v>
      </c>
      <c r="J16" s="20" t="s">
        <v>85</v>
      </c>
      <c r="K16" s="20" t="s">
        <v>85</v>
      </c>
    </row>
    <row r="17" ht="34" customHeight="1" spans="1:11">
      <c r="A17" s="19">
        <v>5</v>
      </c>
      <c r="B17" s="20" t="s">
        <v>86</v>
      </c>
      <c r="C17" s="20" t="s">
        <v>87</v>
      </c>
      <c r="D17" s="20" t="s">
        <v>13</v>
      </c>
      <c r="E17" s="20" t="s">
        <v>88</v>
      </c>
      <c r="F17" s="20" t="b">
        <v>1</v>
      </c>
      <c r="G17" s="20" t="s">
        <v>15</v>
      </c>
      <c r="H17" s="20" t="s">
        <v>16</v>
      </c>
      <c r="I17" s="20" t="s">
        <v>89</v>
      </c>
      <c r="J17" s="20" t="s">
        <v>90</v>
      </c>
      <c r="K17" s="20" t="s">
        <v>91</v>
      </c>
    </row>
    <row r="18" ht="34" customHeight="1" spans="1:11">
      <c r="A18" s="19">
        <v>7</v>
      </c>
      <c r="B18" s="20" t="s">
        <v>92</v>
      </c>
      <c r="C18" s="20" t="s">
        <v>93</v>
      </c>
      <c r="D18" s="20" t="s">
        <v>13</v>
      </c>
      <c r="E18" s="20" t="s">
        <v>88</v>
      </c>
      <c r="F18" s="20" t="b">
        <v>1</v>
      </c>
      <c r="G18" s="20" t="s">
        <v>15</v>
      </c>
      <c r="H18" s="20" t="s">
        <v>16</v>
      </c>
      <c r="I18" s="20" t="s">
        <v>94</v>
      </c>
      <c r="J18" s="20" t="s">
        <v>92</v>
      </c>
      <c r="K18" s="20" t="s">
        <v>95</v>
      </c>
    </row>
    <row r="19" ht="34" customHeight="1" spans="1:11">
      <c r="A19" s="19">
        <v>5</v>
      </c>
      <c r="B19" s="20" t="s">
        <v>96</v>
      </c>
      <c r="C19" s="20" t="s">
        <v>97</v>
      </c>
      <c r="D19" s="20" t="s">
        <v>13</v>
      </c>
      <c r="E19" s="20" t="s">
        <v>98</v>
      </c>
      <c r="F19" s="20" t="b">
        <v>1</v>
      </c>
      <c r="G19" s="20" t="s">
        <v>15</v>
      </c>
      <c r="H19" s="20" t="s">
        <v>16</v>
      </c>
      <c r="I19" s="20" t="s">
        <v>99</v>
      </c>
      <c r="J19" s="20" t="s">
        <v>100</v>
      </c>
      <c r="K19" s="20" t="s">
        <v>101</v>
      </c>
    </row>
    <row r="20" ht="34" customHeight="1" spans="1:11">
      <c r="A20" s="19">
        <v>5</v>
      </c>
      <c r="B20" s="20" t="s">
        <v>102</v>
      </c>
      <c r="C20" s="20" t="s">
        <v>103</v>
      </c>
      <c r="D20" s="20" t="s">
        <v>13</v>
      </c>
      <c r="E20" s="20" t="s">
        <v>98</v>
      </c>
      <c r="F20" s="20" t="b">
        <v>1</v>
      </c>
      <c r="G20" s="20" t="s">
        <v>15</v>
      </c>
      <c r="H20" s="20" t="s">
        <v>16</v>
      </c>
      <c r="I20" s="20" t="s">
        <v>104</v>
      </c>
      <c r="J20" s="20" t="s">
        <v>105</v>
      </c>
      <c r="K20" s="20" t="s">
        <v>106</v>
      </c>
    </row>
    <row r="21" ht="34" customHeight="1" spans="1:11">
      <c r="A21" s="19">
        <v>5</v>
      </c>
      <c r="B21" s="20" t="s">
        <v>107</v>
      </c>
      <c r="C21" s="20" t="s">
        <v>108</v>
      </c>
      <c r="D21" s="20" t="s">
        <v>13</v>
      </c>
      <c r="E21" s="20" t="s">
        <v>98</v>
      </c>
      <c r="F21" s="20" t="b">
        <v>1</v>
      </c>
      <c r="G21" s="20" t="s">
        <v>15</v>
      </c>
      <c r="H21" s="20" t="s">
        <v>16</v>
      </c>
      <c r="I21" s="20" t="s">
        <v>109</v>
      </c>
      <c r="J21" s="20" t="s">
        <v>110</v>
      </c>
      <c r="K21" s="20" t="s">
        <v>111</v>
      </c>
    </row>
    <row r="22" ht="34" customHeight="1" spans="1:11">
      <c r="A22" s="19">
        <v>5</v>
      </c>
      <c r="B22" s="20" t="s">
        <v>112</v>
      </c>
      <c r="C22" s="20" t="s">
        <v>113</v>
      </c>
      <c r="D22" s="20" t="s">
        <v>13</v>
      </c>
      <c r="E22" s="20" t="s">
        <v>98</v>
      </c>
      <c r="F22" s="20" t="b">
        <v>1</v>
      </c>
      <c r="G22" s="20" t="s">
        <v>15</v>
      </c>
      <c r="H22" s="20" t="s">
        <v>16</v>
      </c>
      <c r="I22" s="20" t="s">
        <v>114</v>
      </c>
      <c r="J22" s="20" t="s">
        <v>115</v>
      </c>
      <c r="K22" s="20" t="s">
        <v>116</v>
      </c>
    </row>
    <row r="23" ht="34" customHeight="1" spans="1:11">
      <c r="A23" s="19">
        <v>6</v>
      </c>
      <c r="B23" s="20" t="s">
        <v>117</v>
      </c>
      <c r="C23" s="20" t="s">
        <v>118</v>
      </c>
      <c r="D23" s="20" t="s">
        <v>13</v>
      </c>
      <c r="E23" s="20" t="s">
        <v>14</v>
      </c>
      <c r="F23" s="20" t="b">
        <v>1</v>
      </c>
      <c r="G23" s="20" t="s">
        <v>15</v>
      </c>
      <c r="H23" s="20" t="s">
        <v>16</v>
      </c>
      <c r="I23" s="20" t="s">
        <v>119</v>
      </c>
      <c r="J23" s="20" t="s">
        <v>18</v>
      </c>
      <c r="K23" s="20" t="s">
        <v>38</v>
      </c>
    </row>
    <row r="24" ht="34" customHeight="1" spans="1:11">
      <c r="A24" s="19">
        <v>8</v>
      </c>
      <c r="B24" s="20" t="s">
        <v>120</v>
      </c>
      <c r="C24" s="20" t="s">
        <v>121</v>
      </c>
      <c r="D24" s="20" t="s">
        <v>13</v>
      </c>
      <c r="E24" s="20" t="s">
        <v>14</v>
      </c>
      <c r="F24" s="20" t="b">
        <v>1</v>
      </c>
      <c r="G24" s="20" t="s">
        <v>15</v>
      </c>
      <c r="H24" s="20" t="s">
        <v>16</v>
      </c>
      <c r="I24" s="20" t="s">
        <v>122</v>
      </c>
      <c r="J24" s="20" t="s">
        <v>123</v>
      </c>
      <c r="K24" s="20" t="s">
        <v>124</v>
      </c>
    </row>
    <row r="25" ht="34" customHeight="1" spans="1:11">
      <c r="A25" s="19">
        <v>5</v>
      </c>
      <c r="B25" s="20" t="s">
        <v>125</v>
      </c>
      <c r="C25" s="20" t="s">
        <v>126</v>
      </c>
      <c r="D25" s="20" t="s">
        <v>13</v>
      </c>
      <c r="E25" s="20" t="s">
        <v>14</v>
      </c>
      <c r="F25" s="20" t="b">
        <v>1</v>
      </c>
      <c r="G25" s="20" t="s">
        <v>15</v>
      </c>
      <c r="H25" s="20" t="s">
        <v>16</v>
      </c>
      <c r="I25" s="20" t="s">
        <v>127</v>
      </c>
      <c r="J25" s="20" t="s">
        <v>128</v>
      </c>
      <c r="K25" s="20" t="s">
        <v>129</v>
      </c>
    </row>
    <row r="26" ht="34" customHeight="1" spans="1:11">
      <c r="A26" s="19">
        <v>5</v>
      </c>
      <c r="B26" s="20" t="s">
        <v>130</v>
      </c>
      <c r="C26" s="20" t="s">
        <v>131</v>
      </c>
      <c r="D26" s="20" t="s">
        <v>13</v>
      </c>
      <c r="E26" s="20" t="s">
        <v>14</v>
      </c>
      <c r="F26" s="20" t="b">
        <v>1</v>
      </c>
      <c r="G26" s="20" t="s">
        <v>15</v>
      </c>
      <c r="H26" s="20" t="s">
        <v>16</v>
      </c>
      <c r="I26" s="20" t="s">
        <v>132</v>
      </c>
      <c r="J26" s="20" t="s">
        <v>133</v>
      </c>
      <c r="K26" s="20" t="s">
        <v>133</v>
      </c>
    </row>
    <row r="27" ht="34" customHeight="1" spans="1:11">
      <c r="A27" s="19">
        <v>6</v>
      </c>
      <c r="B27" s="20" t="s">
        <v>134</v>
      </c>
      <c r="C27" s="20" t="s">
        <v>135</v>
      </c>
      <c r="D27" s="20" t="s">
        <v>13</v>
      </c>
      <c r="E27" s="20" t="s">
        <v>49</v>
      </c>
      <c r="F27" s="20" t="b">
        <v>1</v>
      </c>
      <c r="G27" s="20" t="s">
        <v>15</v>
      </c>
      <c r="H27" s="20" t="s">
        <v>16</v>
      </c>
      <c r="I27" s="20" t="s">
        <v>136</v>
      </c>
      <c r="J27" s="20" t="s">
        <v>134</v>
      </c>
      <c r="K27" s="20" t="s">
        <v>134</v>
      </c>
    </row>
    <row r="28" ht="34" customHeight="1" spans="1:11">
      <c r="A28" s="19">
        <v>6</v>
      </c>
      <c r="B28" s="20" t="s">
        <v>137</v>
      </c>
      <c r="C28" s="20" t="s">
        <v>138</v>
      </c>
      <c r="D28" s="20" t="s">
        <v>13</v>
      </c>
      <c r="E28" s="20" t="s">
        <v>41</v>
      </c>
      <c r="F28" s="20" t="b">
        <v>1</v>
      </c>
      <c r="G28" s="20" t="s">
        <v>15</v>
      </c>
      <c r="H28" s="20" t="s">
        <v>16</v>
      </c>
      <c r="I28" s="20" t="s">
        <v>139</v>
      </c>
      <c r="J28" s="20" t="s">
        <v>140</v>
      </c>
      <c r="K28" s="20" t="s">
        <v>52</v>
      </c>
    </row>
    <row r="29" ht="34" customHeight="1" spans="1:11">
      <c r="A29" s="19">
        <v>5</v>
      </c>
      <c r="B29" s="20" t="s">
        <v>141</v>
      </c>
      <c r="C29" s="20" t="s">
        <v>142</v>
      </c>
      <c r="D29" s="20" t="s">
        <v>13</v>
      </c>
      <c r="E29" s="20" t="s">
        <v>41</v>
      </c>
      <c r="F29" s="20" t="b">
        <v>1</v>
      </c>
      <c r="G29" s="20" t="s">
        <v>15</v>
      </c>
      <c r="H29" s="20" t="s">
        <v>16</v>
      </c>
      <c r="I29" s="20" t="s">
        <v>143</v>
      </c>
      <c r="J29" s="20" t="s">
        <v>144</v>
      </c>
      <c r="K29" s="20" t="s">
        <v>38</v>
      </c>
    </row>
    <row r="30" ht="34" customHeight="1" spans="1:11">
      <c r="A30" s="19">
        <v>7</v>
      </c>
      <c r="B30" s="20" t="s">
        <v>145</v>
      </c>
      <c r="C30" s="20" t="s">
        <v>146</v>
      </c>
      <c r="D30" s="20" t="s">
        <v>13</v>
      </c>
      <c r="E30" s="20" t="s">
        <v>41</v>
      </c>
      <c r="F30" s="20" t="b">
        <v>1</v>
      </c>
      <c r="G30" s="20" t="s">
        <v>15</v>
      </c>
      <c r="H30" s="20" t="s">
        <v>16</v>
      </c>
      <c r="I30" s="20" t="s">
        <v>147</v>
      </c>
      <c r="J30" s="20" t="s">
        <v>148</v>
      </c>
      <c r="K30" s="20" t="s">
        <v>52</v>
      </c>
    </row>
    <row r="31" ht="34" customHeight="1" spans="1:11">
      <c r="A31" s="19">
        <v>6</v>
      </c>
      <c r="B31" s="20" t="s">
        <v>149</v>
      </c>
      <c r="C31" s="20" t="s">
        <v>150</v>
      </c>
      <c r="D31" s="20" t="s">
        <v>13</v>
      </c>
      <c r="E31" s="20" t="s">
        <v>151</v>
      </c>
      <c r="F31" s="20" t="b">
        <v>1</v>
      </c>
      <c r="G31" s="20" t="s">
        <v>15</v>
      </c>
      <c r="H31" s="20" t="s">
        <v>16</v>
      </c>
      <c r="I31" s="20" t="s">
        <v>152</v>
      </c>
      <c r="J31" s="20" t="s">
        <v>149</v>
      </c>
      <c r="K31" s="20" t="s">
        <v>153</v>
      </c>
    </row>
    <row r="32" ht="34" customHeight="1" spans="1:11">
      <c r="A32" s="19">
        <v>7</v>
      </c>
      <c r="B32" s="20" t="s">
        <v>154</v>
      </c>
      <c r="C32" s="20" t="s">
        <v>155</v>
      </c>
      <c r="D32" s="20" t="s">
        <v>13</v>
      </c>
      <c r="E32" s="20" t="s">
        <v>151</v>
      </c>
      <c r="F32" s="20" t="b">
        <v>1</v>
      </c>
      <c r="G32" s="20" t="s">
        <v>15</v>
      </c>
      <c r="H32" s="20" t="s">
        <v>16</v>
      </c>
      <c r="I32" s="20" t="s">
        <v>156</v>
      </c>
      <c r="J32" s="20" t="s">
        <v>154</v>
      </c>
      <c r="K32" s="20" t="s">
        <v>157</v>
      </c>
    </row>
    <row r="33" ht="34" customHeight="1" spans="1:11">
      <c r="A33" s="19">
        <v>6</v>
      </c>
      <c r="B33" s="20" t="s">
        <v>158</v>
      </c>
      <c r="C33" s="20" t="s">
        <v>159</v>
      </c>
      <c r="D33" s="20" t="s">
        <v>13</v>
      </c>
      <c r="E33" s="20" t="s">
        <v>88</v>
      </c>
      <c r="F33" s="20" t="b">
        <v>1</v>
      </c>
      <c r="G33" s="20" t="s">
        <v>15</v>
      </c>
      <c r="H33" s="20" t="s">
        <v>16</v>
      </c>
      <c r="I33" s="20" t="s">
        <v>160</v>
      </c>
      <c r="J33" s="20" t="s">
        <v>158</v>
      </c>
      <c r="K33" s="20" t="s">
        <v>161</v>
      </c>
    </row>
    <row r="34" ht="34" customHeight="1" spans="1:11">
      <c r="A34" s="19">
        <v>6</v>
      </c>
      <c r="B34" s="20" t="s">
        <v>162</v>
      </c>
      <c r="C34" s="20" t="s">
        <v>163</v>
      </c>
      <c r="D34" s="20" t="s">
        <v>13</v>
      </c>
      <c r="E34" s="20" t="s">
        <v>88</v>
      </c>
      <c r="F34" s="20" t="b">
        <v>1</v>
      </c>
      <c r="G34" s="20" t="s">
        <v>15</v>
      </c>
      <c r="H34" s="20" t="s">
        <v>16</v>
      </c>
      <c r="I34" s="20" t="s">
        <v>164</v>
      </c>
      <c r="J34" s="20" t="s">
        <v>165</v>
      </c>
      <c r="K34" s="20" t="s">
        <v>166</v>
      </c>
    </row>
    <row r="35" ht="34" customHeight="1" spans="1:11">
      <c r="A35" s="19">
        <v>7</v>
      </c>
      <c r="B35" s="20" t="s">
        <v>167</v>
      </c>
      <c r="C35" s="20" t="s">
        <v>168</v>
      </c>
      <c r="D35" s="20" t="s">
        <v>13</v>
      </c>
      <c r="E35" s="20" t="s">
        <v>151</v>
      </c>
      <c r="F35" s="20" t="b">
        <v>1</v>
      </c>
      <c r="G35" s="20" t="s">
        <v>15</v>
      </c>
      <c r="H35" s="20" t="s">
        <v>16</v>
      </c>
      <c r="I35" s="20" t="s">
        <v>169</v>
      </c>
      <c r="J35" s="20" t="s">
        <v>170</v>
      </c>
      <c r="K35" s="20" t="s">
        <v>171</v>
      </c>
    </row>
    <row r="36" ht="34" customHeight="1" spans="1:11">
      <c r="A36" s="19">
        <v>5</v>
      </c>
      <c r="B36" s="20" t="s">
        <v>172</v>
      </c>
      <c r="C36" s="20" t="s">
        <v>173</v>
      </c>
      <c r="D36" s="20" t="s">
        <v>13</v>
      </c>
      <c r="E36" s="20" t="s">
        <v>151</v>
      </c>
      <c r="F36" s="20" t="b">
        <v>1</v>
      </c>
      <c r="G36" s="20" t="s">
        <v>15</v>
      </c>
      <c r="H36" s="20" t="s">
        <v>16</v>
      </c>
      <c r="I36" s="20" t="s">
        <v>174</v>
      </c>
      <c r="J36" s="20" t="s">
        <v>172</v>
      </c>
      <c r="K36" s="20" t="s">
        <v>175</v>
      </c>
    </row>
    <row r="37" ht="34" customHeight="1" spans="1:11">
      <c r="A37" s="19">
        <v>5</v>
      </c>
      <c r="B37" s="20" t="s">
        <v>176</v>
      </c>
      <c r="C37" s="20" t="s">
        <v>177</v>
      </c>
      <c r="D37" s="20" t="s">
        <v>13</v>
      </c>
      <c r="E37" s="20" t="s">
        <v>151</v>
      </c>
      <c r="F37" s="20" t="b">
        <v>1</v>
      </c>
      <c r="G37" s="20" t="s">
        <v>15</v>
      </c>
      <c r="H37" s="20" t="s">
        <v>16</v>
      </c>
      <c r="I37" s="20" t="s">
        <v>178</v>
      </c>
      <c r="J37" s="20" t="s">
        <v>176</v>
      </c>
      <c r="K37" s="20" t="s">
        <v>179</v>
      </c>
    </row>
    <row r="38" ht="34" customHeight="1" spans="1:11">
      <c r="A38" s="19">
        <v>6</v>
      </c>
      <c r="B38" s="20" t="s">
        <v>180</v>
      </c>
      <c r="C38" s="20" t="s">
        <v>181</v>
      </c>
      <c r="D38" s="20" t="s">
        <v>13</v>
      </c>
      <c r="E38" s="20" t="s">
        <v>182</v>
      </c>
      <c r="F38" s="20" t="b">
        <v>1</v>
      </c>
      <c r="G38" s="20" t="s">
        <v>15</v>
      </c>
      <c r="H38" s="20" t="s">
        <v>16</v>
      </c>
      <c r="I38" s="20" t="s">
        <v>183</v>
      </c>
      <c r="J38" s="20" t="s">
        <v>184</v>
      </c>
      <c r="K38" s="20" t="s">
        <v>185</v>
      </c>
    </row>
    <row r="39" ht="34" customHeight="1" spans="1:11">
      <c r="A39" s="19">
        <v>6</v>
      </c>
      <c r="B39" s="20" t="s">
        <v>186</v>
      </c>
      <c r="C39" s="20" t="s">
        <v>187</v>
      </c>
      <c r="D39" s="20" t="s">
        <v>13</v>
      </c>
      <c r="E39" s="20" t="s">
        <v>182</v>
      </c>
      <c r="F39" s="20" t="b">
        <v>1</v>
      </c>
      <c r="G39" s="20" t="s">
        <v>15</v>
      </c>
      <c r="H39" s="20" t="s">
        <v>16</v>
      </c>
      <c r="I39" s="20" t="s">
        <v>188</v>
      </c>
      <c r="J39" s="20" t="s">
        <v>186</v>
      </c>
      <c r="K39" s="20" t="s">
        <v>189</v>
      </c>
    </row>
    <row r="40" ht="34" customHeight="1" spans="1:11">
      <c r="A40" s="19">
        <v>6</v>
      </c>
      <c r="B40" s="20" t="s">
        <v>190</v>
      </c>
      <c r="C40" s="20" t="s">
        <v>191</v>
      </c>
      <c r="D40" s="20" t="s">
        <v>13</v>
      </c>
      <c r="E40" s="20" t="s">
        <v>151</v>
      </c>
      <c r="F40" s="20" t="b">
        <v>1</v>
      </c>
      <c r="G40" s="20" t="s">
        <v>15</v>
      </c>
      <c r="H40" s="20" t="s">
        <v>16</v>
      </c>
      <c r="I40" s="20" t="s">
        <v>192</v>
      </c>
      <c r="J40" s="20" t="s">
        <v>193</v>
      </c>
      <c r="K40" s="20" t="s">
        <v>194</v>
      </c>
    </row>
    <row r="41" ht="34" customHeight="1" spans="1:11">
      <c r="A41" s="19">
        <v>7</v>
      </c>
      <c r="B41" s="20" t="s">
        <v>195</v>
      </c>
      <c r="C41" s="20" t="s">
        <v>196</v>
      </c>
      <c r="D41" s="20" t="s">
        <v>13</v>
      </c>
      <c r="E41" s="20" t="s">
        <v>151</v>
      </c>
      <c r="F41" s="20" t="b">
        <v>1</v>
      </c>
      <c r="G41" s="20" t="s">
        <v>15</v>
      </c>
      <c r="H41" s="20" t="s">
        <v>16</v>
      </c>
      <c r="I41" s="20" t="s">
        <v>197</v>
      </c>
      <c r="J41" s="20" t="s">
        <v>198</v>
      </c>
      <c r="K41" s="20" t="s">
        <v>199</v>
      </c>
    </row>
    <row r="42" ht="34" customHeight="1" spans="1:11">
      <c r="A42" s="19">
        <v>5</v>
      </c>
      <c r="B42" s="20" t="s">
        <v>200</v>
      </c>
      <c r="C42" s="20" t="s">
        <v>201</v>
      </c>
      <c r="D42" s="20" t="s">
        <v>13</v>
      </c>
      <c r="E42" s="20" t="s">
        <v>151</v>
      </c>
      <c r="F42" s="20" t="b">
        <v>1</v>
      </c>
      <c r="G42" s="20" t="s">
        <v>15</v>
      </c>
      <c r="H42" s="20" t="s">
        <v>16</v>
      </c>
      <c r="I42" s="20" t="s">
        <v>202</v>
      </c>
      <c r="J42" s="20" t="s">
        <v>203</v>
      </c>
      <c r="K42" s="20" t="s">
        <v>204</v>
      </c>
    </row>
    <row r="43" ht="34" customHeight="1" spans="1:11">
      <c r="A43" s="19">
        <v>5</v>
      </c>
      <c r="B43" s="20" t="s">
        <v>205</v>
      </c>
      <c r="C43" s="20" t="s">
        <v>206</v>
      </c>
      <c r="D43" s="20" t="s">
        <v>13</v>
      </c>
      <c r="E43" s="20" t="s">
        <v>207</v>
      </c>
      <c r="F43" s="20" t="b">
        <v>1</v>
      </c>
      <c r="G43" s="20" t="s">
        <v>15</v>
      </c>
      <c r="H43" s="20" t="s">
        <v>16</v>
      </c>
      <c r="I43" s="20" t="s">
        <v>208</v>
      </c>
      <c r="J43" s="20" t="s">
        <v>209</v>
      </c>
      <c r="K43" s="20" t="s">
        <v>210</v>
      </c>
    </row>
    <row r="44" ht="34" customHeight="1" spans="1:11">
      <c r="A44" s="19">
        <v>9</v>
      </c>
      <c r="B44" s="20" t="s">
        <v>211</v>
      </c>
      <c r="C44" s="20" t="s">
        <v>212</v>
      </c>
      <c r="D44" s="20" t="s">
        <v>213</v>
      </c>
      <c r="E44" s="20" t="s">
        <v>214</v>
      </c>
      <c r="F44" s="20" t="b">
        <v>1</v>
      </c>
      <c r="G44" s="20" t="s">
        <v>15</v>
      </c>
      <c r="H44" s="20" t="s">
        <v>16</v>
      </c>
      <c r="I44" s="20" t="s">
        <v>215</v>
      </c>
      <c r="J44" s="20" t="s">
        <v>216</v>
      </c>
      <c r="K44" s="20" t="s">
        <v>217</v>
      </c>
    </row>
    <row r="45" ht="34" customHeight="1" spans="1:11">
      <c r="A45" s="19">
        <v>7</v>
      </c>
      <c r="B45" s="20" t="s">
        <v>218</v>
      </c>
      <c r="C45" s="20" t="s">
        <v>219</v>
      </c>
      <c r="D45" s="20" t="s">
        <v>213</v>
      </c>
      <c r="E45" s="20" t="s">
        <v>220</v>
      </c>
      <c r="F45" s="20" t="b">
        <v>1</v>
      </c>
      <c r="G45" s="20" t="s">
        <v>15</v>
      </c>
      <c r="H45" s="20" t="s">
        <v>16</v>
      </c>
      <c r="I45" s="20" t="s">
        <v>221</v>
      </c>
      <c r="J45" s="20" t="s">
        <v>222</v>
      </c>
      <c r="K45" s="20" t="s">
        <v>223</v>
      </c>
    </row>
    <row r="46" ht="34" customHeight="1" spans="1:11">
      <c r="A46" s="19">
        <v>7</v>
      </c>
      <c r="B46" s="20" t="s">
        <v>224</v>
      </c>
      <c r="C46" s="20" t="s">
        <v>225</v>
      </c>
      <c r="D46" s="20" t="s">
        <v>213</v>
      </c>
      <c r="E46" s="20" t="s">
        <v>220</v>
      </c>
      <c r="F46" s="20" t="b">
        <v>1</v>
      </c>
      <c r="G46" s="20" t="s">
        <v>15</v>
      </c>
      <c r="H46" s="20" t="s">
        <v>16</v>
      </c>
      <c r="I46" s="20" t="s">
        <v>226</v>
      </c>
      <c r="J46" s="20" t="s">
        <v>227</v>
      </c>
      <c r="K46" s="20" t="s">
        <v>228</v>
      </c>
    </row>
    <row r="47" ht="34" customHeight="1" spans="1:11">
      <c r="A47" s="19">
        <v>9</v>
      </c>
      <c r="B47" s="20" t="s">
        <v>229</v>
      </c>
      <c r="C47" s="20" t="s">
        <v>230</v>
      </c>
      <c r="D47" s="20" t="s">
        <v>213</v>
      </c>
      <c r="E47" s="20" t="s">
        <v>231</v>
      </c>
      <c r="F47" s="20" t="b">
        <v>1</v>
      </c>
      <c r="G47" s="20" t="s">
        <v>15</v>
      </c>
      <c r="H47" s="20" t="s">
        <v>16</v>
      </c>
      <c r="I47" s="20" t="s">
        <v>232</v>
      </c>
      <c r="J47" s="20" t="s">
        <v>233</v>
      </c>
      <c r="K47" s="20" t="s">
        <v>234</v>
      </c>
    </row>
    <row r="48" ht="34" customHeight="1" spans="1:11">
      <c r="A48" s="19">
        <v>6</v>
      </c>
      <c r="B48" s="20" t="s">
        <v>235</v>
      </c>
      <c r="C48" s="20" t="s">
        <v>236</v>
      </c>
      <c r="D48" s="20" t="s">
        <v>213</v>
      </c>
      <c r="E48" s="20" t="s">
        <v>237</v>
      </c>
      <c r="F48" s="20" t="b">
        <v>1</v>
      </c>
      <c r="G48" s="20" t="s">
        <v>15</v>
      </c>
      <c r="H48" s="20" t="s">
        <v>16</v>
      </c>
      <c r="I48" s="20" t="s">
        <v>238</v>
      </c>
      <c r="J48" s="20" t="s">
        <v>100</v>
      </c>
      <c r="K48" s="20" t="s">
        <v>101</v>
      </c>
    </row>
    <row r="49" ht="34" customHeight="1" spans="1:11">
      <c r="A49" s="19">
        <v>7</v>
      </c>
      <c r="B49" s="20" t="s">
        <v>239</v>
      </c>
      <c r="C49" s="20" t="s">
        <v>240</v>
      </c>
      <c r="D49" s="20" t="s">
        <v>213</v>
      </c>
      <c r="E49" s="20" t="s">
        <v>237</v>
      </c>
      <c r="F49" s="20" t="b">
        <v>1</v>
      </c>
      <c r="G49" s="20" t="s">
        <v>15</v>
      </c>
      <c r="H49" s="20" t="s">
        <v>16</v>
      </c>
      <c r="I49" s="20" t="s">
        <v>241</v>
      </c>
      <c r="J49" s="20" t="s">
        <v>105</v>
      </c>
      <c r="K49" s="20" t="s">
        <v>106</v>
      </c>
    </row>
    <row r="50" ht="34" customHeight="1" spans="1:11">
      <c r="A50" s="19">
        <v>5</v>
      </c>
      <c r="B50" s="20" t="s">
        <v>242</v>
      </c>
      <c r="C50" s="20" t="s">
        <v>243</v>
      </c>
      <c r="D50" s="20" t="s">
        <v>213</v>
      </c>
      <c r="E50" s="20" t="s">
        <v>237</v>
      </c>
      <c r="F50" s="20" t="b">
        <v>1</v>
      </c>
      <c r="G50" s="20" t="s">
        <v>15</v>
      </c>
      <c r="H50" s="20" t="s">
        <v>16</v>
      </c>
      <c r="I50" s="20" t="s">
        <v>244</v>
      </c>
      <c r="J50" s="20" t="s">
        <v>110</v>
      </c>
      <c r="K50" s="20" t="s">
        <v>111</v>
      </c>
    </row>
    <row r="51" ht="34" customHeight="1" spans="1:11">
      <c r="A51" s="19">
        <v>5</v>
      </c>
      <c r="B51" s="20" t="s">
        <v>245</v>
      </c>
      <c r="C51" s="20" t="s">
        <v>246</v>
      </c>
      <c r="D51" s="20" t="s">
        <v>213</v>
      </c>
      <c r="E51" s="20" t="s">
        <v>237</v>
      </c>
      <c r="F51" s="20" t="b">
        <v>1</v>
      </c>
      <c r="G51" s="20" t="s">
        <v>15</v>
      </c>
      <c r="H51" s="20" t="s">
        <v>16</v>
      </c>
      <c r="I51" s="20" t="s">
        <v>247</v>
      </c>
      <c r="J51" s="20" t="s">
        <v>115</v>
      </c>
      <c r="K51" s="20" t="s">
        <v>116</v>
      </c>
    </row>
    <row r="52" ht="34" customHeight="1" spans="1:11">
      <c r="A52" s="19">
        <v>8</v>
      </c>
      <c r="B52" s="20" t="s">
        <v>248</v>
      </c>
      <c r="C52" s="20" t="s">
        <v>249</v>
      </c>
      <c r="D52" s="20" t="s">
        <v>213</v>
      </c>
      <c r="E52" s="20" t="s">
        <v>250</v>
      </c>
      <c r="F52" s="20" t="b">
        <v>1</v>
      </c>
      <c r="G52" s="20" t="s">
        <v>15</v>
      </c>
      <c r="H52" s="20" t="s">
        <v>16</v>
      </c>
      <c r="I52" s="20" t="s">
        <v>251</v>
      </c>
      <c r="J52" s="20" t="s">
        <v>252</v>
      </c>
      <c r="K52" s="20" t="s">
        <v>252</v>
      </c>
    </row>
    <row r="53" ht="34" customHeight="1" spans="1:11">
      <c r="A53" s="19">
        <v>5</v>
      </c>
      <c r="B53" s="20" t="s">
        <v>253</v>
      </c>
      <c r="C53" s="20" t="s">
        <v>254</v>
      </c>
      <c r="D53" s="20" t="s">
        <v>213</v>
      </c>
      <c r="E53" s="20" t="s">
        <v>214</v>
      </c>
      <c r="F53" s="20" t="b">
        <v>1</v>
      </c>
      <c r="G53" s="20" t="s">
        <v>15</v>
      </c>
      <c r="H53" s="20" t="s">
        <v>16</v>
      </c>
      <c r="I53" s="20" t="s">
        <v>255</v>
      </c>
      <c r="J53" s="20" t="s">
        <v>256</v>
      </c>
      <c r="K53" s="20" t="s">
        <v>62</v>
      </c>
    </row>
    <row r="54" ht="34" customHeight="1" spans="1:11">
      <c r="A54" s="19">
        <v>6</v>
      </c>
      <c r="B54" s="20" t="s">
        <v>257</v>
      </c>
      <c r="C54" s="20" t="s">
        <v>258</v>
      </c>
      <c r="D54" s="20" t="s">
        <v>213</v>
      </c>
      <c r="E54" s="20" t="s">
        <v>214</v>
      </c>
      <c r="F54" s="20" t="b">
        <v>1</v>
      </c>
      <c r="G54" s="20" t="s">
        <v>15</v>
      </c>
      <c r="H54" s="20" t="s">
        <v>16</v>
      </c>
      <c r="I54" s="20" t="s">
        <v>259</v>
      </c>
      <c r="J54" s="20" t="s">
        <v>260</v>
      </c>
      <c r="K54" s="20" t="s">
        <v>67</v>
      </c>
    </row>
    <row r="55" ht="34" customHeight="1" spans="1:11">
      <c r="A55" s="19">
        <v>6</v>
      </c>
      <c r="B55" s="20" t="s">
        <v>261</v>
      </c>
      <c r="C55" s="20" t="s">
        <v>262</v>
      </c>
      <c r="D55" s="20" t="s">
        <v>213</v>
      </c>
      <c r="E55" s="20" t="s">
        <v>237</v>
      </c>
      <c r="F55" s="20" t="b">
        <v>1</v>
      </c>
      <c r="G55" s="20" t="s">
        <v>15</v>
      </c>
      <c r="H55" s="20" t="s">
        <v>16</v>
      </c>
      <c r="I55" s="20" t="s">
        <v>263</v>
      </c>
      <c r="J55" s="20" t="s">
        <v>264</v>
      </c>
      <c r="K55" s="20" t="s">
        <v>265</v>
      </c>
    </row>
    <row r="56" ht="34" customHeight="1" spans="1:11">
      <c r="A56" s="19">
        <v>5</v>
      </c>
      <c r="B56" s="20" t="s">
        <v>266</v>
      </c>
      <c r="C56" s="20" t="s">
        <v>267</v>
      </c>
      <c r="D56" s="20" t="s">
        <v>213</v>
      </c>
      <c r="E56" s="20" t="s">
        <v>237</v>
      </c>
      <c r="F56" s="20" t="b">
        <v>1</v>
      </c>
      <c r="G56" s="20" t="s">
        <v>15</v>
      </c>
      <c r="H56" s="20" t="s">
        <v>16</v>
      </c>
      <c r="I56" s="20" t="s">
        <v>268</v>
      </c>
      <c r="J56" s="20" t="s">
        <v>269</v>
      </c>
      <c r="K56" s="20" t="s">
        <v>270</v>
      </c>
    </row>
    <row r="57" ht="34" customHeight="1" spans="1:11">
      <c r="A57" s="19">
        <v>7</v>
      </c>
      <c r="B57" s="20" t="s">
        <v>271</v>
      </c>
      <c r="C57" s="20" t="s">
        <v>272</v>
      </c>
      <c r="D57" s="20" t="s">
        <v>213</v>
      </c>
      <c r="E57" s="20" t="s">
        <v>250</v>
      </c>
      <c r="F57" s="20" t="b">
        <v>1</v>
      </c>
      <c r="G57" s="20" t="s">
        <v>15</v>
      </c>
      <c r="H57" s="20" t="s">
        <v>16</v>
      </c>
      <c r="I57" s="20" t="s">
        <v>273</v>
      </c>
      <c r="J57" s="20" t="s">
        <v>274</v>
      </c>
      <c r="K57" s="20" t="s">
        <v>275</v>
      </c>
    </row>
    <row r="58" ht="34" customHeight="1" spans="1:11">
      <c r="A58" s="19">
        <v>6</v>
      </c>
      <c r="B58" s="20" t="s">
        <v>276</v>
      </c>
      <c r="C58" s="20" t="s">
        <v>277</v>
      </c>
      <c r="D58" s="20" t="s">
        <v>213</v>
      </c>
      <c r="E58" s="20" t="s">
        <v>237</v>
      </c>
      <c r="F58" s="20" t="b">
        <v>1</v>
      </c>
      <c r="G58" s="20" t="s">
        <v>15</v>
      </c>
      <c r="H58" s="20" t="s">
        <v>16</v>
      </c>
      <c r="I58" s="20" t="s">
        <v>278</v>
      </c>
      <c r="J58" s="20" t="s">
        <v>279</v>
      </c>
      <c r="K58" s="20" t="s">
        <v>280</v>
      </c>
    </row>
    <row r="59" ht="34" customHeight="1" spans="1:11">
      <c r="A59" s="19">
        <v>5</v>
      </c>
      <c r="B59" s="20" t="s">
        <v>281</v>
      </c>
      <c r="C59" s="20" t="s">
        <v>282</v>
      </c>
      <c r="D59" s="20" t="s">
        <v>213</v>
      </c>
      <c r="E59" s="20" t="s">
        <v>231</v>
      </c>
      <c r="F59" s="20" t="b">
        <v>1</v>
      </c>
      <c r="G59" s="20" t="s">
        <v>15</v>
      </c>
      <c r="H59" s="20" t="s">
        <v>16</v>
      </c>
      <c r="I59" s="20" t="s">
        <v>283</v>
      </c>
      <c r="J59" s="20" t="s">
        <v>284</v>
      </c>
      <c r="K59" s="20" t="s">
        <v>285</v>
      </c>
    </row>
    <row r="60" ht="34" customHeight="1" spans="1:11">
      <c r="A60" s="19">
        <v>6</v>
      </c>
      <c r="B60" s="20" t="s">
        <v>286</v>
      </c>
      <c r="C60" s="20" t="s">
        <v>287</v>
      </c>
      <c r="D60" s="20" t="s">
        <v>213</v>
      </c>
      <c r="E60" s="20" t="s">
        <v>250</v>
      </c>
      <c r="F60" s="20" t="b">
        <v>1</v>
      </c>
      <c r="G60" s="20" t="s">
        <v>15</v>
      </c>
      <c r="H60" s="20" t="s">
        <v>16</v>
      </c>
      <c r="I60" s="20" t="s">
        <v>288</v>
      </c>
      <c r="J60" s="20" t="s">
        <v>289</v>
      </c>
      <c r="K60" s="20" t="s">
        <v>290</v>
      </c>
    </row>
    <row r="61" ht="34" customHeight="1" spans="1:11">
      <c r="A61" s="19">
        <v>7</v>
      </c>
      <c r="B61" s="20" t="s">
        <v>291</v>
      </c>
      <c r="C61" s="20" t="s">
        <v>292</v>
      </c>
      <c r="D61" s="20" t="s">
        <v>213</v>
      </c>
      <c r="E61" s="20" t="s">
        <v>220</v>
      </c>
      <c r="F61" s="20" t="b">
        <v>1</v>
      </c>
      <c r="G61" s="20" t="s">
        <v>15</v>
      </c>
      <c r="H61" s="20" t="s">
        <v>16</v>
      </c>
      <c r="I61" s="20" t="s">
        <v>293</v>
      </c>
      <c r="J61" s="20" t="s">
        <v>294</v>
      </c>
      <c r="K61" s="20" t="s">
        <v>295</v>
      </c>
    </row>
    <row r="62" ht="34" customHeight="1" spans="1:11">
      <c r="A62" s="19">
        <v>7</v>
      </c>
      <c r="B62" s="20" t="s">
        <v>296</v>
      </c>
      <c r="C62" s="20" t="s">
        <v>297</v>
      </c>
      <c r="D62" s="20" t="s">
        <v>213</v>
      </c>
      <c r="E62" s="20" t="s">
        <v>214</v>
      </c>
      <c r="F62" s="20" t="b">
        <v>1</v>
      </c>
      <c r="G62" s="20" t="s">
        <v>15</v>
      </c>
      <c r="H62" s="20" t="s">
        <v>16</v>
      </c>
      <c r="I62" s="20" t="s">
        <v>298</v>
      </c>
      <c r="J62" s="20" t="s">
        <v>299</v>
      </c>
      <c r="K62" s="20" t="s">
        <v>300</v>
      </c>
    </row>
    <row r="63" ht="34" customHeight="1" spans="1:11">
      <c r="A63" s="19">
        <v>7</v>
      </c>
      <c r="B63" s="20" t="s">
        <v>301</v>
      </c>
      <c r="C63" s="20" t="s">
        <v>302</v>
      </c>
      <c r="D63" s="20" t="s">
        <v>213</v>
      </c>
      <c r="E63" s="20" t="s">
        <v>214</v>
      </c>
      <c r="F63" s="20" t="b">
        <v>1</v>
      </c>
      <c r="G63" s="20" t="s">
        <v>15</v>
      </c>
      <c r="H63" s="20" t="s">
        <v>16</v>
      </c>
      <c r="I63" s="20" t="s">
        <v>303</v>
      </c>
      <c r="J63" s="20" t="s">
        <v>304</v>
      </c>
      <c r="K63" s="20" t="s">
        <v>305</v>
      </c>
    </row>
    <row r="64" ht="34" customHeight="1" spans="1:11">
      <c r="A64" s="19">
        <v>6</v>
      </c>
      <c r="B64" s="20" t="s">
        <v>306</v>
      </c>
      <c r="C64" s="20" t="s">
        <v>307</v>
      </c>
      <c r="D64" s="20" t="s">
        <v>213</v>
      </c>
      <c r="E64" s="20" t="s">
        <v>308</v>
      </c>
      <c r="F64" s="20" t="b">
        <v>1</v>
      </c>
      <c r="G64" s="20" t="s">
        <v>15</v>
      </c>
      <c r="H64" s="20" t="s">
        <v>16</v>
      </c>
      <c r="I64" s="20" t="s">
        <v>309</v>
      </c>
      <c r="J64" s="20" t="s">
        <v>310</v>
      </c>
      <c r="K64" s="20" t="s">
        <v>311</v>
      </c>
    </row>
    <row r="65" ht="34" customHeight="1" spans="1:11">
      <c r="A65" s="19">
        <v>5</v>
      </c>
      <c r="B65" s="20" t="s">
        <v>312</v>
      </c>
      <c r="C65" s="20" t="s">
        <v>313</v>
      </c>
      <c r="D65" s="20" t="s">
        <v>213</v>
      </c>
      <c r="E65" s="20" t="s">
        <v>308</v>
      </c>
      <c r="F65" s="20" t="b">
        <v>1</v>
      </c>
      <c r="G65" s="20" t="s">
        <v>15</v>
      </c>
      <c r="H65" s="20" t="s">
        <v>16</v>
      </c>
      <c r="I65" s="20" t="s">
        <v>314</v>
      </c>
      <c r="J65" s="20" t="s">
        <v>315</v>
      </c>
      <c r="K65" s="20" t="s">
        <v>316</v>
      </c>
    </row>
    <row r="66" ht="34" customHeight="1" spans="1:11">
      <c r="A66" s="19">
        <v>6</v>
      </c>
      <c r="B66" s="20" t="s">
        <v>317</v>
      </c>
      <c r="C66" s="20" t="s">
        <v>318</v>
      </c>
      <c r="D66" s="20" t="s">
        <v>213</v>
      </c>
      <c r="E66" s="20" t="s">
        <v>250</v>
      </c>
      <c r="F66" s="20" t="b">
        <v>1</v>
      </c>
      <c r="G66" s="20" t="s">
        <v>15</v>
      </c>
      <c r="H66" s="20" t="s">
        <v>16</v>
      </c>
      <c r="I66" s="20" t="s">
        <v>319</v>
      </c>
      <c r="J66" s="20" t="s">
        <v>320</v>
      </c>
      <c r="K66" s="20" t="s">
        <v>321</v>
      </c>
    </row>
    <row r="67" ht="34" customHeight="1" spans="1:11">
      <c r="A67" s="19">
        <v>5</v>
      </c>
      <c r="B67" s="20" t="s">
        <v>322</v>
      </c>
      <c r="C67" s="20" t="s">
        <v>323</v>
      </c>
      <c r="D67" s="20" t="s">
        <v>213</v>
      </c>
      <c r="E67" s="20" t="s">
        <v>250</v>
      </c>
      <c r="F67" s="20" t="b">
        <v>1</v>
      </c>
      <c r="G67" s="20" t="s">
        <v>15</v>
      </c>
      <c r="H67" s="20" t="s">
        <v>16</v>
      </c>
      <c r="I67" s="20" t="s">
        <v>324</v>
      </c>
      <c r="J67" s="20" t="s">
        <v>325</v>
      </c>
      <c r="K67" s="20" t="s">
        <v>326</v>
      </c>
    </row>
    <row r="68" ht="34" customHeight="1" spans="1:11">
      <c r="A68" s="19">
        <v>6</v>
      </c>
      <c r="B68" s="20" t="s">
        <v>327</v>
      </c>
      <c r="C68" s="20" t="s">
        <v>328</v>
      </c>
      <c r="D68" s="20" t="s">
        <v>213</v>
      </c>
      <c r="E68" s="20" t="s">
        <v>308</v>
      </c>
      <c r="F68" s="20" t="b">
        <v>1</v>
      </c>
      <c r="G68" s="20" t="s">
        <v>15</v>
      </c>
      <c r="H68" s="20" t="s">
        <v>16</v>
      </c>
      <c r="I68" s="20" t="s">
        <v>329</v>
      </c>
      <c r="J68" s="20" t="s">
        <v>330</v>
      </c>
      <c r="K68" s="20" t="s">
        <v>331</v>
      </c>
    </row>
    <row r="69" ht="34" customHeight="1" spans="1:11">
      <c r="A69" s="19">
        <v>5</v>
      </c>
      <c r="B69" s="20" t="s">
        <v>332</v>
      </c>
      <c r="C69" s="20" t="s">
        <v>333</v>
      </c>
      <c r="D69" s="20" t="s">
        <v>213</v>
      </c>
      <c r="E69" s="20" t="s">
        <v>308</v>
      </c>
      <c r="F69" s="20" t="b">
        <v>1</v>
      </c>
      <c r="G69" s="20" t="s">
        <v>15</v>
      </c>
      <c r="H69" s="20" t="s">
        <v>16</v>
      </c>
      <c r="I69" s="20" t="s">
        <v>334</v>
      </c>
      <c r="J69" s="20" t="s">
        <v>335</v>
      </c>
      <c r="K69" s="20" t="s">
        <v>336</v>
      </c>
    </row>
    <row r="70" ht="34" customHeight="1" spans="1:11">
      <c r="A70" s="19">
        <v>5</v>
      </c>
      <c r="B70" s="20" t="s">
        <v>337</v>
      </c>
      <c r="C70" s="20" t="s">
        <v>338</v>
      </c>
      <c r="D70" s="20" t="s">
        <v>213</v>
      </c>
      <c r="E70" s="20" t="s">
        <v>220</v>
      </c>
      <c r="F70" s="20" t="b">
        <v>1</v>
      </c>
      <c r="G70" s="20" t="s">
        <v>15</v>
      </c>
      <c r="H70" s="20" t="s">
        <v>16</v>
      </c>
      <c r="I70" s="20" t="s">
        <v>339</v>
      </c>
      <c r="J70" s="20" t="s">
        <v>340</v>
      </c>
      <c r="K70" s="20" t="s">
        <v>341</v>
      </c>
    </row>
    <row r="71" ht="34" customHeight="1" spans="1:11">
      <c r="A71" s="19">
        <v>6</v>
      </c>
      <c r="B71" s="20" t="s">
        <v>342</v>
      </c>
      <c r="C71" s="20" t="s">
        <v>343</v>
      </c>
      <c r="D71" s="20" t="s">
        <v>213</v>
      </c>
      <c r="E71" s="20" t="s">
        <v>220</v>
      </c>
      <c r="F71" s="20" t="b">
        <v>1</v>
      </c>
      <c r="G71" s="20" t="s">
        <v>15</v>
      </c>
      <c r="H71" s="20" t="s">
        <v>16</v>
      </c>
      <c r="I71" s="20" t="s">
        <v>344</v>
      </c>
      <c r="J71" s="20" t="s">
        <v>345</v>
      </c>
      <c r="K71" s="20" t="s">
        <v>346</v>
      </c>
    </row>
    <row r="72" ht="34" customHeight="1" spans="1:11">
      <c r="A72" s="19">
        <v>6</v>
      </c>
      <c r="B72" s="20" t="s">
        <v>347</v>
      </c>
      <c r="C72" s="20" t="s">
        <v>348</v>
      </c>
      <c r="D72" s="20" t="s">
        <v>213</v>
      </c>
      <c r="E72" s="20" t="s">
        <v>220</v>
      </c>
      <c r="F72" s="20" t="b">
        <v>1</v>
      </c>
      <c r="G72" s="20" t="s">
        <v>15</v>
      </c>
      <c r="H72" s="20" t="s">
        <v>16</v>
      </c>
      <c r="I72" s="20" t="s">
        <v>349</v>
      </c>
      <c r="J72" s="20" t="s">
        <v>350</v>
      </c>
      <c r="K72" s="20" t="s">
        <v>351</v>
      </c>
    </row>
    <row r="73" ht="34" customHeight="1" spans="1:11">
      <c r="A73" s="19">
        <v>5</v>
      </c>
      <c r="B73" s="20" t="s">
        <v>352</v>
      </c>
      <c r="C73" s="20" t="s">
        <v>353</v>
      </c>
      <c r="D73" s="20" t="s">
        <v>213</v>
      </c>
      <c r="E73" s="20" t="s">
        <v>231</v>
      </c>
      <c r="F73" s="20" t="b">
        <v>1</v>
      </c>
      <c r="G73" s="20" t="s">
        <v>15</v>
      </c>
      <c r="H73" s="20" t="s">
        <v>16</v>
      </c>
      <c r="I73" s="20" t="s">
        <v>354</v>
      </c>
      <c r="J73" s="20" t="s">
        <v>355</v>
      </c>
      <c r="K73" s="20" t="s">
        <v>356</v>
      </c>
    </row>
    <row r="74" ht="34" customHeight="1" spans="1:11">
      <c r="A74" s="19">
        <v>6</v>
      </c>
      <c r="B74" s="20" t="s">
        <v>357</v>
      </c>
      <c r="C74" s="20" t="s">
        <v>358</v>
      </c>
      <c r="D74" s="20" t="s">
        <v>213</v>
      </c>
      <c r="E74" s="20" t="s">
        <v>231</v>
      </c>
      <c r="F74" s="20" t="b">
        <v>1</v>
      </c>
      <c r="G74" s="20" t="s">
        <v>15</v>
      </c>
      <c r="H74" s="20" t="s">
        <v>16</v>
      </c>
      <c r="I74" s="20" t="s">
        <v>359</v>
      </c>
      <c r="J74" s="20" t="s">
        <v>360</v>
      </c>
      <c r="K74" s="20" t="s">
        <v>361</v>
      </c>
    </row>
    <row r="75" ht="34" customHeight="1" spans="1:11">
      <c r="A75" s="19">
        <v>5</v>
      </c>
      <c r="B75" s="20" t="s">
        <v>362</v>
      </c>
      <c r="C75" s="20" t="s">
        <v>363</v>
      </c>
      <c r="D75" s="20" t="s">
        <v>213</v>
      </c>
      <c r="E75" s="20" t="s">
        <v>231</v>
      </c>
      <c r="F75" s="20" t="b">
        <v>1</v>
      </c>
      <c r="G75" s="20" t="s">
        <v>15</v>
      </c>
      <c r="H75" s="20" t="s">
        <v>16</v>
      </c>
      <c r="I75" s="20" t="s">
        <v>364</v>
      </c>
      <c r="J75" s="20" t="s">
        <v>365</v>
      </c>
      <c r="K75" s="20" t="s">
        <v>366</v>
      </c>
    </row>
    <row r="76" ht="34" customHeight="1" spans="1:11">
      <c r="A76" s="19">
        <v>6</v>
      </c>
      <c r="B76" s="20" t="s">
        <v>367</v>
      </c>
      <c r="C76" s="20" t="s">
        <v>368</v>
      </c>
      <c r="D76" s="20" t="s">
        <v>213</v>
      </c>
      <c r="E76" s="20" t="s">
        <v>237</v>
      </c>
      <c r="F76" s="20" t="b">
        <v>1</v>
      </c>
      <c r="G76" s="20" t="s">
        <v>15</v>
      </c>
      <c r="H76" s="20" t="s">
        <v>16</v>
      </c>
      <c r="I76" s="20" t="s">
        <v>369</v>
      </c>
      <c r="J76" s="20" t="s">
        <v>370</v>
      </c>
      <c r="K76" s="20" t="s">
        <v>371</v>
      </c>
    </row>
    <row r="77" ht="34" customHeight="1" spans="1:11">
      <c r="A77" s="19">
        <v>5</v>
      </c>
      <c r="B77" s="20" t="s">
        <v>372</v>
      </c>
      <c r="C77" s="20" t="s">
        <v>373</v>
      </c>
      <c r="D77" s="20" t="s">
        <v>213</v>
      </c>
      <c r="E77" s="20" t="s">
        <v>237</v>
      </c>
      <c r="F77" s="20" t="b">
        <v>1</v>
      </c>
      <c r="G77" s="20" t="s">
        <v>15</v>
      </c>
      <c r="H77" s="20" t="s">
        <v>16</v>
      </c>
      <c r="I77" s="20" t="s">
        <v>374</v>
      </c>
      <c r="J77" s="20" t="s">
        <v>375</v>
      </c>
      <c r="K77" s="20" t="s">
        <v>376</v>
      </c>
    </row>
    <row r="78" ht="34" customHeight="1" spans="1:11">
      <c r="A78" s="19">
        <v>5</v>
      </c>
      <c r="B78" s="20" t="s">
        <v>377</v>
      </c>
      <c r="C78" s="20" t="s">
        <v>378</v>
      </c>
      <c r="D78" s="20" t="s">
        <v>213</v>
      </c>
      <c r="E78" s="20" t="s">
        <v>237</v>
      </c>
      <c r="F78" s="20" t="b">
        <v>1</v>
      </c>
      <c r="G78" s="20" t="s">
        <v>15</v>
      </c>
      <c r="H78" s="20" t="s">
        <v>16</v>
      </c>
      <c r="I78" s="20" t="s">
        <v>379</v>
      </c>
      <c r="J78" s="20" t="s">
        <v>380</v>
      </c>
      <c r="K78" s="20" t="s">
        <v>381</v>
      </c>
    </row>
    <row r="79" ht="34" customHeight="1" spans="1:11">
      <c r="A79" s="19">
        <v>6</v>
      </c>
      <c r="B79" s="20" t="s">
        <v>382</v>
      </c>
      <c r="C79" s="20" t="s">
        <v>383</v>
      </c>
      <c r="D79" s="20" t="s">
        <v>213</v>
      </c>
      <c r="E79" s="20" t="s">
        <v>308</v>
      </c>
      <c r="F79" s="20" t="b">
        <v>1</v>
      </c>
      <c r="G79" s="20" t="s">
        <v>15</v>
      </c>
      <c r="H79" s="20" t="s">
        <v>16</v>
      </c>
      <c r="I79" s="20" t="s">
        <v>384</v>
      </c>
      <c r="J79" s="20" t="s">
        <v>385</v>
      </c>
      <c r="K79" s="20" t="s">
        <v>386</v>
      </c>
    </row>
    <row r="80" ht="34" customHeight="1" spans="1:11">
      <c r="A80" s="19">
        <v>7</v>
      </c>
      <c r="B80" s="20" t="s">
        <v>387</v>
      </c>
      <c r="C80" s="20" t="s">
        <v>388</v>
      </c>
      <c r="D80" s="20" t="s">
        <v>213</v>
      </c>
      <c r="E80" s="20" t="s">
        <v>250</v>
      </c>
      <c r="F80" s="20" t="b">
        <v>1</v>
      </c>
      <c r="G80" s="20" t="s">
        <v>15</v>
      </c>
      <c r="H80" s="20" t="s">
        <v>16</v>
      </c>
      <c r="I80" s="20" t="s">
        <v>389</v>
      </c>
      <c r="J80" s="20" t="s">
        <v>390</v>
      </c>
      <c r="K80" s="20" t="s">
        <v>391</v>
      </c>
    </row>
    <row r="81" ht="34" customHeight="1" spans="1:11">
      <c r="A81" s="19">
        <v>8</v>
      </c>
      <c r="B81" s="20" t="s">
        <v>392</v>
      </c>
      <c r="C81" s="20" t="s">
        <v>393</v>
      </c>
      <c r="D81" s="20" t="s">
        <v>213</v>
      </c>
      <c r="E81" s="20" t="s">
        <v>250</v>
      </c>
      <c r="F81" s="20" t="b">
        <v>1</v>
      </c>
      <c r="G81" s="20" t="s">
        <v>15</v>
      </c>
      <c r="H81" s="20" t="s">
        <v>16</v>
      </c>
      <c r="I81" s="20" t="s">
        <v>394</v>
      </c>
      <c r="J81" s="20" t="s">
        <v>395</v>
      </c>
      <c r="K81" s="20" t="s">
        <v>396</v>
      </c>
    </row>
    <row r="82" s="17" customFormat="1" ht="34" customHeight="1" spans="1:11">
      <c r="A82" s="21">
        <v>6.5</v>
      </c>
      <c r="B82" s="22" t="s">
        <v>397</v>
      </c>
      <c r="C82" s="22" t="s">
        <v>398</v>
      </c>
      <c r="D82" s="22" t="s">
        <v>399</v>
      </c>
      <c r="E82" s="22" t="s">
        <v>400</v>
      </c>
      <c r="F82" s="22" t="b">
        <v>1</v>
      </c>
      <c r="G82" s="22" t="s">
        <v>401</v>
      </c>
      <c r="H82" s="22" t="s">
        <v>402</v>
      </c>
      <c r="I82" s="22" t="s">
        <v>403</v>
      </c>
      <c r="J82" s="22" t="s">
        <v>404</v>
      </c>
      <c r="K82" s="22" t="s">
        <v>404</v>
      </c>
    </row>
    <row r="83" s="17" customFormat="1" ht="34" customHeight="1" spans="1:11">
      <c r="A83" s="21">
        <v>3.5</v>
      </c>
      <c r="B83" s="22" t="s">
        <v>405</v>
      </c>
      <c r="C83" s="22" t="s">
        <v>406</v>
      </c>
      <c r="D83" s="22" t="s">
        <v>399</v>
      </c>
      <c r="E83" s="22" t="s">
        <v>400</v>
      </c>
      <c r="F83" s="22" t="b">
        <v>1</v>
      </c>
      <c r="G83" s="22" t="s">
        <v>401</v>
      </c>
      <c r="H83" s="22" t="s">
        <v>402</v>
      </c>
      <c r="I83" s="22" t="s">
        <v>407</v>
      </c>
      <c r="J83" s="22" t="s">
        <v>404</v>
      </c>
      <c r="K83" s="22" t="s">
        <v>404</v>
      </c>
    </row>
  </sheetData>
  <conditionalFormatting sqref="A2:A83">
    <cfRule type="dataBar" priority="1">
      <dataBar>
        <cfvo type="min"/>
        <cfvo type="max"/>
        <color rgb="FFD8A23A"/>
      </dataBar>
      <extLst>
        <ext xmlns:x14="http://schemas.microsoft.com/office/spreadsheetml/2009/9/main" uri="{B025F937-C7B1-47D3-B67F-A62EFF666E3E}">
          <x14:id>{caa8736f-d9bc-46f9-b52e-ec7e871335c3}</x14:id>
        </ext>
      </extLst>
    </cfRule>
  </conditionalFormatting>
  <dataValidations count="2">
    <dataValidation type="decimal" operator="between" sqref="A2:A83">
      <formula1>0</formula1>
      <formula2>10</formula2>
    </dataValidation>
    <dataValidation type="list" sqref="F2:F83">
      <formula1>"true,false"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a8736f-d9bc-46f9-b52e-ec7e871335c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A2:A83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showGridLines="0" zoomScale="130" zoomScaleNormal="130" topLeftCell="A2" workbookViewId="0">
      <selection activeCell="A9" sqref="A9"/>
    </sheetView>
  </sheetViews>
  <sheetFormatPr defaultColWidth="9" defaultRowHeight="14"/>
  <cols>
    <col min="1" max="1" width="34" customWidth="1"/>
    <col min="2" max="3" width="24" customWidth="1"/>
  </cols>
  <sheetData>
    <row r="1" s="5" customFormat="1" ht="23" spans="1:13">
      <c r="A1" s="6" t="s">
        <v>408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</row>
    <row r="2" s="5" customFormat="1" ht="23" spans="1:13">
      <c r="A2" s="8"/>
      <c r="B2" s="8"/>
      <c r="C2" s="8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>
      <c r="A3" s="9"/>
      <c r="B3" s="9"/>
      <c r="C3" s="9"/>
    </row>
    <row r="4" spans="1:13">
      <c r="A4" s="10" t="s">
        <v>409</v>
      </c>
      <c r="B4" s="10" t="s">
        <v>410</v>
      </c>
      <c r="C4" s="9"/>
    </row>
    <row r="5" ht="18" spans="1:13">
      <c r="A5" s="11" t="s">
        <v>411</v>
      </c>
      <c r="B5" s="12">
        <f>COUNTIF(匹配指标配置!$D$2:$D$83,"&lt;&gt;overall")</f>
        <v>80</v>
      </c>
      <c r="C5" s="9"/>
    </row>
    <row r="6" ht="18" spans="1:13">
      <c r="A6" s="11" t="s">
        <v>412</v>
      </c>
      <c r="B6" s="12">
        <f>COUNTIF(匹配指标配置!$D$2:$D$83,"recruiter")</f>
        <v>42</v>
      </c>
      <c r="C6" s="9"/>
    </row>
    <row r="7" ht="18" spans="1:13">
      <c r="A7" s="11" t="s">
        <v>413</v>
      </c>
      <c r="B7" s="12">
        <f>COUNTIF(匹配指标配置!$D$2:$D$83,"candidate")</f>
        <v>38</v>
      </c>
      <c r="C7" s="9"/>
    </row>
    <row r="8" ht="18" spans="1:13">
      <c r="A8" s="11" t="s">
        <v>414</v>
      </c>
      <c r="B8" s="12">
        <f>COUNTIF(匹配指标配置!$A$2:$A$83,"&gt;10")+COUNTIF(匹配指标配置!$A$2:$A$83,"&lt;0")</f>
        <v>0</v>
      </c>
      <c r="C8" s="9"/>
    </row>
    <row r="9" ht="18" spans="1:13">
      <c r="A9" s="11" t="s">
        <v>415</v>
      </c>
      <c r="B9" s="12">
        <f>4</f>
        <v>4</v>
      </c>
      <c r="C9" s="9"/>
    </row>
    <row r="10" spans="1:13">
      <c r="A10" s="9"/>
      <c r="B10" s="9"/>
      <c r="C10" s="9"/>
    </row>
    <row r="11" spans="1:13">
      <c r="A11" s="10" t="s">
        <v>4</v>
      </c>
      <c r="B11" s="10" t="s">
        <v>416</v>
      </c>
      <c r="C11" s="10" t="s">
        <v>417</v>
      </c>
    </row>
    <row r="12" spans="1:13">
      <c r="A12" s="11" t="s">
        <v>88</v>
      </c>
      <c r="B12" s="11">
        <f>COUNTIF(匹配指标配置!$E$2:$E$83,A12)</f>
        <v>4</v>
      </c>
      <c r="C12" s="13">
        <f>SUMIF(匹配指标配置!$E$2:$E$83,A12,匹配指标配置!$A$2:$A$83)</f>
        <v>24</v>
      </c>
    </row>
    <row r="13" spans="1:13">
      <c r="A13" s="11" t="s">
        <v>182</v>
      </c>
      <c r="B13" s="11">
        <f>COUNTIF(匹配指标配置!$E$2:$E$83,A13)</f>
        <v>2</v>
      </c>
      <c r="C13" s="13">
        <f>SUMIF(匹配指标配置!$E$2:$E$83,A13,匹配指标配置!$A$2:$A$83)</f>
        <v>12</v>
      </c>
    </row>
    <row r="14" spans="1:13">
      <c r="A14" s="11" t="s">
        <v>231</v>
      </c>
      <c r="B14" s="11">
        <f>COUNTIF(匹配指标配置!$E$2:$E$83,A14)</f>
        <v>5</v>
      </c>
      <c r="C14" s="13">
        <f>SUMIF(匹配指标配置!$E$2:$E$83,A14,匹配指标配置!$A$2:$A$83)</f>
        <v>30</v>
      </c>
    </row>
    <row r="15" spans="1:13">
      <c r="A15" s="11" t="s">
        <v>49</v>
      </c>
      <c r="B15" s="11">
        <f>COUNTIF(匹配指标配置!$E$2:$E$83,A15)</f>
        <v>6</v>
      </c>
      <c r="C15" s="13">
        <f>SUMIF(匹配指标配置!$E$2:$E$83,A15,匹配指标配置!$A$2:$A$83)</f>
        <v>40</v>
      </c>
    </row>
    <row r="16" spans="1:13">
      <c r="A16" s="11" t="s">
        <v>214</v>
      </c>
      <c r="B16" s="11">
        <f>COUNTIF(匹配指标配置!$E$2:$E$83,A16)</f>
        <v>5</v>
      </c>
      <c r="C16" s="13">
        <f>SUMIF(匹配指标配置!$E$2:$E$83,A16,匹配指标配置!$A$2:$A$83)</f>
        <v>34</v>
      </c>
    </row>
    <row r="17" spans="1:14">
      <c r="A17" s="11" t="s">
        <v>308</v>
      </c>
      <c r="B17" s="11">
        <f>COUNTIF(匹配指标配置!$E$2:$E$83,A17)</f>
        <v>5</v>
      </c>
      <c r="C17" s="13">
        <f>SUMIF(匹配指标配置!$E$2:$E$83,A17,匹配指标配置!$A$2:$A$83)</f>
        <v>28</v>
      </c>
    </row>
    <row r="18" spans="1:14">
      <c r="A18" s="11" t="s">
        <v>237</v>
      </c>
      <c r="B18" s="11">
        <f>COUNTIF(匹配指标配置!$E$2:$E$83,A18)</f>
        <v>10</v>
      </c>
      <c r="C18" s="13">
        <f>SUMIF(匹配指标配置!$E$2:$E$83,A18,匹配指标配置!$A$2:$A$83)</f>
        <v>56</v>
      </c>
    </row>
    <row r="19" spans="1:14">
      <c r="A19" s="11" t="s">
        <v>98</v>
      </c>
      <c r="B19" s="11">
        <f>COUNTIF(匹配指标配置!$E$2:$E$83,A19)</f>
        <v>4</v>
      </c>
      <c r="C19" s="13">
        <f>SUMIF(匹配指标配置!$E$2:$E$83,A19,匹配指标配置!$A$2:$A$83)</f>
        <v>20</v>
      </c>
    </row>
    <row r="20" spans="1:14">
      <c r="A20" s="11" t="s">
        <v>220</v>
      </c>
      <c r="B20" s="11">
        <f>COUNTIF(匹配指标配置!$E$2:$E$83,A20)</f>
        <v>6</v>
      </c>
      <c r="C20" s="13">
        <f>SUMIF(匹配指标配置!$E$2:$E$83,A20,匹配指标配置!$A$2:$A$83)</f>
        <v>38</v>
      </c>
    </row>
    <row r="21" spans="1:14">
      <c r="A21" s="11" t="s">
        <v>14</v>
      </c>
      <c r="B21" s="11">
        <f>COUNTIF(匹配指标配置!$E$2:$E$83,A21)</f>
        <v>9</v>
      </c>
      <c r="C21" s="13">
        <f>SUMIF(匹配指标配置!$E$2:$E$83,A21,匹配指标配置!$A$2:$A$83)</f>
        <v>61</v>
      </c>
    </row>
    <row r="22" spans="1:14">
      <c r="A22" s="11" t="s">
        <v>250</v>
      </c>
      <c r="B22" s="11">
        <f>COUNTIF(匹配指标配置!$E$2:$E$83,A22)</f>
        <v>7</v>
      </c>
      <c r="C22" s="13">
        <f>SUMIF(匹配指标配置!$E$2:$E$83,A22,匹配指标配置!$A$2:$A$83)</f>
        <v>47</v>
      </c>
    </row>
    <row r="23" spans="1:14">
      <c r="A23" s="11" t="s">
        <v>151</v>
      </c>
      <c r="B23" s="11">
        <f>COUNTIF(匹配指标配置!$E$2:$E$83,A23)</f>
        <v>8</v>
      </c>
      <c r="C23" s="13">
        <f>SUMIF(匹配指标配置!$E$2:$E$83,A23,匹配指标配置!$A$2:$A$83)</f>
        <v>48</v>
      </c>
    </row>
    <row r="24" spans="1:14">
      <c r="A24" s="11" t="s">
        <v>41</v>
      </c>
      <c r="B24" s="11">
        <f>COUNTIF(匹配指标配置!$E$2:$E$83,A24)</f>
        <v>5</v>
      </c>
      <c r="C24" s="13">
        <f>SUMIF(匹配指标配置!$E$2:$E$83,A24,匹配指标配置!$A$2:$A$83)</f>
        <v>33</v>
      </c>
    </row>
    <row r="25" spans="1:14">
      <c r="A25" s="11" t="s">
        <v>74</v>
      </c>
      <c r="B25" s="11">
        <f>COUNTIF(匹配指标配置!$E$2:$E$83,A25)</f>
        <v>3</v>
      </c>
      <c r="C25" s="13">
        <f>SUMIF(匹配指标配置!$E$2:$E$83,A25,匹配指标配置!$A$2:$A$83)</f>
        <v>12</v>
      </c>
    </row>
    <row r="26" spans="1:14">
      <c r="A26" s="11" t="s">
        <v>207</v>
      </c>
      <c r="B26" s="11">
        <f>COUNTIF(匹配指标配置!$E$2:$E$83,A26)</f>
        <v>1</v>
      </c>
      <c r="C26" s="13">
        <f>SUMIF(匹配指标配置!$E$2:$E$83,A26,匹配指标配置!$A$2:$A$83)</f>
        <v>5</v>
      </c>
    </row>
    <row r="27" spans="1:14">
      <c r="A27" s="9"/>
      <c r="B27" s="9"/>
      <c r="C27" s="9"/>
    </row>
    <row r="28" spans="1:14">
      <c r="A28" s="9"/>
      <c r="B28" s="9"/>
      <c r="C28" s="9"/>
    </row>
    <row r="29" spans="1:14">
      <c r="A29" s="14" t="s">
        <v>418</v>
      </c>
      <c r="B29" s="14"/>
      <c r="C29" s="14"/>
    </row>
    <row r="30" spans="1:14">
      <c r="A30" s="14" t="s">
        <v>419</v>
      </c>
      <c r="B30" s="14"/>
      <c r="C30" s="14"/>
    </row>
    <row r="31" spans="1:14">
      <c r="A31" s="15" t="s">
        <v>420</v>
      </c>
      <c r="B31" s="15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5"/>
    </row>
    <row r="32" s="5" customFormat="1" spans="1:1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="5" customFormat="1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="5" customFormat="1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</sheetData>
  <mergeCells count="4">
    <mergeCell ref="A1:C1"/>
    <mergeCell ref="A29:C29"/>
    <mergeCell ref="A30:C30"/>
    <mergeCell ref="A31:C31"/>
  </mergeCells>
  <conditionalFormatting sqref="C12:C26">
    <cfRule type="dataBar" priority="1">
      <dataBar>
        <cfvo type="min"/>
        <cfvo type="max"/>
        <color rgb="FF3C78A8"/>
      </dataBar>
      <extLst>
        <ext xmlns:x14="http://schemas.microsoft.com/office/spreadsheetml/2009/9/main" uri="{B025F937-C7B1-47D3-B67F-A62EFF666E3E}">
          <x14:id>{8a23636c-06bd-41d9-9d72-e940b9eb3689}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23636c-06bd-41d9-9d72-e940b9eb368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C12:C26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showGridLines="0" zoomScale="85" zoomScaleNormal="85" workbookViewId="0">
      <selection activeCell="E31" sqref="E31"/>
    </sheetView>
  </sheetViews>
  <sheetFormatPr defaultColWidth="9" defaultRowHeight="14"/>
  <cols>
    <col min="1" max="1" width="22" customWidth="1"/>
    <col min="2" max="2" width="14" customWidth="1"/>
    <col min="3" max="3" width="9" customWidth="1"/>
    <col min="4" max="4" width="45.675" customWidth="1"/>
    <col min="5" max="5" width="34" customWidth="1"/>
    <col min="6" max="6" width="18" customWidth="1"/>
    <col min="7" max="7" width="34" customWidth="1"/>
    <col min="8" max="9" width="16" customWidth="1"/>
  </cols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</row>
    <row r="2" spans="1:9">
      <c r="A2" s="2" t="s">
        <v>430</v>
      </c>
      <c r="B2" s="2" t="s">
        <v>431</v>
      </c>
      <c r="C2" s="2" t="s">
        <v>432</v>
      </c>
      <c r="D2" s="2" t="s">
        <v>433</v>
      </c>
      <c r="E2" s="2" t="s">
        <v>434</v>
      </c>
      <c r="F2" s="3"/>
      <c r="G2" s="2" t="s">
        <v>435</v>
      </c>
      <c r="H2" s="4" t="str">
        <f>IF(E2="","",IFERROR(INDEX(匹配指标配置!$A$2:$A$83,MATCH(E2,匹配指标配置!$B$2:$B$83,0)),""))</f>
        <v/>
      </c>
      <c r="I2" s="4" t="str">
        <f t="shared" ref="I2:I32" si="0">IF(OR(F2="",H2=""),"",F2-H2)</f>
        <v/>
      </c>
    </row>
    <row r="3" spans="1:9">
      <c r="A3" s="2" t="s">
        <v>436</v>
      </c>
      <c r="B3" s="2" t="s">
        <v>437</v>
      </c>
      <c r="C3" s="2" t="s">
        <v>432</v>
      </c>
      <c r="D3" s="2" t="s">
        <v>438</v>
      </c>
      <c r="E3" s="2" t="s">
        <v>11</v>
      </c>
      <c r="F3" s="3">
        <v>10</v>
      </c>
      <c r="G3" s="2" t="s">
        <v>439</v>
      </c>
      <c r="H3" s="4">
        <f>IF(E3="","",IFERROR(INDEX(匹配指标配置!$A$2:$A$83,MATCH(E3,匹配指标配置!$B$2:$B$83,0)),""))</f>
        <v>10</v>
      </c>
      <c r="I3" s="4">
        <f t="shared" si="0"/>
        <v>0</v>
      </c>
    </row>
    <row r="4" spans="1:9">
      <c r="A4" s="2" t="s">
        <v>436</v>
      </c>
      <c r="B4" s="2" t="s">
        <v>437</v>
      </c>
      <c r="C4" s="2" t="s">
        <v>432</v>
      </c>
      <c r="D4" s="2" t="s">
        <v>438</v>
      </c>
      <c r="E4" s="2" t="s">
        <v>24</v>
      </c>
      <c r="F4" s="3">
        <v>9.5</v>
      </c>
      <c r="G4" s="2" t="s">
        <v>440</v>
      </c>
      <c r="H4" s="4">
        <f>IF(E4="","",IFERROR(INDEX(匹配指标配置!$A$2:$A$83,MATCH(E4,匹配指标配置!$B$2:$B$83,0)),""))</f>
        <v>8</v>
      </c>
      <c r="I4" s="4">
        <f t="shared" si="0"/>
        <v>1.5</v>
      </c>
    </row>
    <row r="5" spans="1:9">
      <c r="A5" s="2" t="s">
        <v>436</v>
      </c>
      <c r="B5" s="2" t="s">
        <v>437</v>
      </c>
      <c r="C5" s="2" t="s">
        <v>432</v>
      </c>
      <c r="D5" s="2" t="s">
        <v>438</v>
      </c>
      <c r="E5" s="2" t="s">
        <v>29</v>
      </c>
      <c r="F5" s="3">
        <v>8.5</v>
      </c>
      <c r="G5" s="2" t="s">
        <v>441</v>
      </c>
      <c r="H5" s="4">
        <f>IF(E5="","",IFERROR(INDEX(匹配指标配置!$A$2:$A$83,MATCH(E5,匹配指标配置!$B$2:$B$83,0)),""))</f>
        <v>7</v>
      </c>
      <c r="I5" s="4">
        <f t="shared" si="0"/>
        <v>1.5</v>
      </c>
    </row>
    <row r="6" spans="1:9">
      <c r="A6" s="2" t="s">
        <v>436</v>
      </c>
      <c r="B6" s="2" t="s">
        <v>437</v>
      </c>
      <c r="C6" s="2" t="s">
        <v>432</v>
      </c>
      <c r="D6" s="2" t="s">
        <v>438</v>
      </c>
      <c r="E6" s="2" t="s">
        <v>39</v>
      </c>
      <c r="F6" s="3">
        <v>9</v>
      </c>
      <c r="G6" s="2" t="s">
        <v>442</v>
      </c>
      <c r="H6" s="4">
        <f>IF(E6="","",IFERROR(INDEX(匹配指标配置!$A$2:$A$83,MATCH(E6,匹配指标配置!$B$2:$B$83,0)),""))</f>
        <v>8</v>
      </c>
      <c r="I6" s="4">
        <f t="shared" si="0"/>
        <v>1</v>
      </c>
    </row>
    <row r="7" spans="1:9">
      <c r="A7" s="2" t="s">
        <v>436</v>
      </c>
      <c r="B7" s="2" t="s">
        <v>437</v>
      </c>
      <c r="C7" s="2" t="s">
        <v>432</v>
      </c>
      <c r="D7" s="2" t="s">
        <v>438</v>
      </c>
      <c r="E7" s="2" t="s">
        <v>47</v>
      </c>
      <c r="F7" s="3">
        <v>9.5</v>
      </c>
      <c r="G7" s="2" t="s">
        <v>443</v>
      </c>
      <c r="H7" s="4">
        <f>IF(E7="","",IFERROR(INDEX(匹配指标配置!$A$2:$A$83,MATCH(E7,匹配指标配置!$B$2:$B$83,0)),""))</f>
        <v>9</v>
      </c>
      <c r="I7" s="4">
        <f t="shared" si="0"/>
        <v>0.5</v>
      </c>
    </row>
    <row r="8" spans="1:9">
      <c r="A8" s="2" t="s">
        <v>436</v>
      </c>
      <c r="B8" s="2" t="s">
        <v>437</v>
      </c>
      <c r="C8" s="2" t="s">
        <v>432</v>
      </c>
      <c r="D8" s="2" t="s">
        <v>438</v>
      </c>
      <c r="E8" s="2" t="s">
        <v>130</v>
      </c>
      <c r="F8" s="3">
        <v>8.5</v>
      </c>
      <c r="G8" s="2" t="s">
        <v>444</v>
      </c>
      <c r="H8" s="4">
        <f>IF(E8="","",IFERROR(INDEX(匹配指标配置!$A$2:$A$83,MATCH(E8,匹配指标配置!$B$2:$B$83,0)),""))</f>
        <v>5</v>
      </c>
      <c r="I8" s="4">
        <f t="shared" si="0"/>
        <v>3.5</v>
      </c>
    </row>
    <row r="9" spans="1:9">
      <c r="A9" s="2" t="s">
        <v>436</v>
      </c>
      <c r="B9" s="2" t="s">
        <v>437</v>
      </c>
      <c r="C9" s="2" t="s">
        <v>432</v>
      </c>
      <c r="D9" s="2" t="s">
        <v>438</v>
      </c>
      <c r="E9" s="2" t="s">
        <v>154</v>
      </c>
      <c r="F9" s="3">
        <v>9</v>
      </c>
      <c r="G9" s="2" t="s">
        <v>445</v>
      </c>
      <c r="H9" s="4">
        <f>IF(E9="","",IFERROR(INDEX(匹配指标配置!$A$2:$A$83,MATCH(E9,匹配指标配置!$B$2:$B$83,0)),""))</f>
        <v>7</v>
      </c>
      <c r="I9" s="4">
        <f t="shared" si="0"/>
        <v>2</v>
      </c>
    </row>
    <row r="10" spans="1:9">
      <c r="A10" s="2" t="s">
        <v>436</v>
      </c>
      <c r="B10" s="2" t="s">
        <v>437</v>
      </c>
      <c r="C10" s="2" t="s">
        <v>432</v>
      </c>
      <c r="D10" s="2" t="s">
        <v>438</v>
      </c>
      <c r="E10" s="2" t="s">
        <v>167</v>
      </c>
      <c r="F10" s="3">
        <v>8.5</v>
      </c>
      <c r="G10" s="2" t="s">
        <v>446</v>
      </c>
      <c r="H10" s="4">
        <f>IF(E10="","",IFERROR(INDEX(匹配指标配置!$A$2:$A$83,MATCH(E10,匹配指标配置!$B$2:$B$83,0)),""))</f>
        <v>7</v>
      </c>
      <c r="I10" s="4">
        <f t="shared" si="0"/>
        <v>1.5</v>
      </c>
    </row>
    <row r="11" spans="1:9">
      <c r="A11" s="2" t="s">
        <v>436</v>
      </c>
      <c r="B11" s="2" t="s">
        <v>437</v>
      </c>
      <c r="C11" s="2" t="s">
        <v>432</v>
      </c>
      <c r="D11" s="2" t="s">
        <v>438</v>
      </c>
      <c r="E11" s="2" t="s">
        <v>180</v>
      </c>
      <c r="F11" s="3">
        <v>7.5</v>
      </c>
      <c r="G11" s="2" t="s">
        <v>447</v>
      </c>
      <c r="H11" s="4">
        <f>IF(E11="","",IFERROR(INDEX(匹配指标配置!$A$2:$A$83,MATCH(E11,匹配指标配置!$B$2:$B$83,0)),""))</f>
        <v>6</v>
      </c>
      <c r="I11" s="4">
        <f t="shared" si="0"/>
        <v>1.5</v>
      </c>
    </row>
    <row r="12" spans="1:9">
      <c r="A12" s="2" t="s">
        <v>436</v>
      </c>
      <c r="B12" s="2" t="s">
        <v>437</v>
      </c>
      <c r="C12" s="2" t="s">
        <v>432</v>
      </c>
      <c r="D12" s="2" t="s">
        <v>438</v>
      </c>
      <c r="E12" s="2" t="s">
        <v>239</v>
      </c>
      <c r="F12" s="3">
        <v>5</v>
      </c>
      <c r="G12" s="2" t="s">
        <v>448</v>
      </c>
      <c r="H12" s="4">
        <f>IF(E12="","",IFERROR(INDEX(匹配指标配置!$A$2:$A$83,MATCH(E12,匹配指标配置!$B$2:$B$83,0)),""))</f>
        <v>7</v>
      </c>
      <c r="I12" s="4">
        <f t="shared" si="0"/>
        <v>-2</v>
      </c>
    </row>
    <row r="13" spans="1:9">
      <c r="A13" s="2" t="s">
        <v>449</v>
      </c>
      <c r="B13" s="2" t="s">
        <v>450</v>
      </c>
      <c r="C13" s="2" t="s">
        <v>432</v>
      </c>
      <c r="D13" s="2" t="s">
        <v>451</v>
      </c>
      <c r="E13" s="2" t="s">
        <v>47</v>
      </c>
      <c r="F13" s="3">
        <v>10</v>
      </c>
      <c r="G13" s="2" t="s">
        <v>452</v>
      </c>
      <c r="H13" s="4">
        <f>IF(E13="","",IFERROR(INDEX(匹配指标配置!$A$2:$A$83,MATCH(E13,匹配指标配置!$B$2:$B$83,0)),""))</f>
        <v>9</v>
      </c>
      <c r="I13" s="4">
        <f t="shared" si="0"/>
        <v>1</v>
      </c>
    </row>
    <row r="14" spans="1:9">
      <c r="A14" s="2" t="s">
        <v>449</v>
      </c>
      <c r="B14" s="2" t="s">
        <v>450</v>
      </c>
      <c r="C14" s="2" t="s">
        <v>432</v>
      </c>
      <c r="D14" s="2" t="s">
        <v>451</v>
      </c>
      <c r="E14" s="2" t="s">
        <v>58</v>
      </c>
      <c r="F14" s="3">
        <v>8</v>
      </c>
      <c r="G14" s="2" t="s">
        <v>453</v>
      </c>
      <c r="H14" s="4">
        <f>IF(E14="","",IFERROR(INDEX(匹配指标配置!$A$2:$A$83,MATCH(E14,匹配指标配置!$B$2:$B$83,0)),""))</f>
        <v>6</v>
      </c>
      <c r="I14" s="4">
        <f t="shared" si="0"/>
        <v>2</v>
      </c>
    </row>
    <row r="15" spans="1:9">
      <c r="A15" s="2" t="s">
        <v>449</v>
      </c>
      <c r="B15" s="2" t="s">
        <v>450</v>
      </c>
      <c r="C15" s="2" t="s">
        <v>432</v>
      </c>
      <c r="D15" s="2" t="s">
        <v>451</v>
      </c>
      <c r="E15" s="2" t="s">
        <v>162</v>
      </c>
      <c r="F15" s="3">
        <v>9.5</v>
      </c>
      <c r="G15" s="2" t="s">
        <v>454</v>
      </c>
      <c r="H15" s="4">
        <f>IF(E15="","",IFERROR(INDEX(匹配指标配置!$A$2:$A$83,MATCH(E15,匹配指标配置!$B$2:$B$83,0)),""))</f>
        <v>6</v>
      </c>
      <c r="I15" s="4">
        <f t="shared" si="0"/>
        <v>3.5</v>
      </c>
    </row>
    <row r="16" spans="1:9">
      <c r="A16" s="2" t="s">
        <v>449</v>
      </c>
      <c r="B16" s="2" t="s">
        <v>450</v>
      </c>
      <c r="C16" s="2" t="s">
        <v>432</v>
      </c>
      <c r="D16" s="2" t="s">
        <v>451</v>
      </c>
      <c r="E16" s="2" t="s">
        <v>195</v>
      </c>
      <c r="F16" s="3">
        <v>9</v>
      </c>
      <c r="G16" s="2" t="s">
        <v>455</v>
      </c>
      <c r="H16" s="4">
        <f>IF(E16="","",IFERROR(INDEX(匹配指标配置!$A$2:$A$83,MATCH(E16,匹配指标配置!$B$2:$B$83,0)),""))</f>
        <v>7</v>
      </c>
      <c r="I16" s="4">
        <f t="shared" si="0"/>
        <v>2</v>
      </c>
    </row>
    <row r="17" spans="1:9">
      <c r="A17" s="2" t="s">
        <v>449</v>
      </c>
      <c r="B17" s="2" t="s">
        <v>450</v>
      </c>
      <c r="C17" s="2" t="s">
        <v>432</v>
      </c>
      <c r="D17" s="2" t="s">
        <v>451</v>
      </c>
      <c r="E17" s="2" t="s">
        <v>200</v>
      </c>
      <c r="F17" s="3">
        <v>9</v>
      </c>
      <c r="G17" s="2" t="s">
        <v>456</v>
      </c>
      <c r="H17" s="4">
        <f>IF(E17="","",IFERROR(INDEX(匹配指标配置!$A$2:$A$83,MATCH(E17,匹配指标配置!$B$2:$B$83,0)),""))</f>
        <v>5</v>
      </c>
      <c r="I17" s="4">
        <f t="shared" si="0"/>
        <v>4</v>
      </c>
    </row>
    <row r="18" spans="1:9">
      <c r="A18" s="2" t="s">
        <v>449</v>
      </c>
      <c r="B18" s="2" t="s">
        <v>450</v>
      </c>
      <c r="C18" s="2" t="s">
        <v>432</v>
      </c>
      <c r="D18" s="2" t="s">
        <v>451</v>
      </c>
      <c r="E18" s="2" t="s">
        <v>158</v>
      </c>
      <c r="F18" s="3">
        <v>8.5</v>
      </c>
      <c r="G18" s="2" t="s">
        <v>457</v>
      </c>
      <c r="H18" s="4">
        <f>IF(E18="","",IFERROR(INDEX(匹配指标配置!$A$2:$A$83,MATCH(E18,匹配指标配置!$B$2:$B$83,0)),""))</f>
        <v>6</v>
      </c>
      <c r="I18" s="4">
        <f t="shared" si="0"/>
        <v>2.5</v>
      </c>
    </row>
    <row r="19" spans="1:9">
      <c r="A19" s="2" t="s">
        <v>449</v>
      </c>
      <c r="B19" s="2" t="s">
        <v>450</v>
      </c>
      <c r="C19" s="2" t="s">
        <v>432</v>
      </c>
      <c r="D19" s="2" t="s">
        <v>451</v>
      </c>
      <c r="E19" s="2" t="s">
        <v>145</v>
      </c>
      <c r="F19" s="3">
        <v>9.5</v>
      </c>
      <c r="G19" s="2" t="s">
        <v>458</v>
      </c>
      <c r="H19" s="4">
        <f>IF(E19="","",IFERROR(INDEX(匹配指标配置!$A$2:$A$83,MATCH(E19,匹配指标配置!$B$2:$B$83,0)),""))</f>
        <v>7</v>
      </c>
      <c r="I19" s="4">
        <f t="shared" si="0"/>
        <v>2.5</v>
      </c>
    </row>
    <row r="20" spans="1:9">
      <c r="A20" s="2" t="s">
        <v>449</v>
      </c>
      <c r="B20" s="2" t="s">
        <v>450</v>
      </c>
      <c r="C20" s="2" t="s">
        <v>432</v>
      </c>
      <c r="D20" s="2" t="s">
        <v>451</v>
      </c>
      <c r="E20" s="2" t="s">
        <v>301</v>
      </c>
      <c r="F20" s="3">
        <v>8</v>
      </c>
      <c r="G20" s="2" t="s">
        <v>459</v>
      </c>
      <c r="H20" s="4">
        <f>IF(E20="","",IFERROR(INDEX(匹配指标配置!$A$2:$A$83,MATCH(E20,匹配指标配置!$B$2:$B$83,0)),""))</f>
        <v>7</v>
      </c>
      <c r="I20" s="4">
        <f t="shared" si="0"/>
        <v>1</v>
      </c>
    </row>
    <row r="21" spans="1:9">
      <c r="A21" s="2" t="s">
        <v>449</v>
      </c>
      <c r="B21" s="2" t="s">
        <v>450</v>
      </c>
      <c r="C21" s="2" t="s">
        <v>432</v>
      </c>
      <c r="D21" s="2" t="s">
        <v>451</v>
      </c>
      <c r="E21" s="2" t="s">
        <v>211</v>
      </c>
      <c r="F21" s="3">
        <v>9</v>
      </c>
      <c r="G21" s="2" t="s">
        <v>460</v>
      </c>
      <c r="H21" s="4">
        <f>IF(E21="","",IFERROR(INDEX(匹配指标配置!$A$2:$A$83,MATCH(E21,匹配指标配置!$B$2:$B$83,0)),""))</f>
        <v>9</v>
      </c>
      <c r="I21" s="4">
        <f t="shared" si="0"/>
        <v>0</v>
      </c>
    </row>
    <row r="22" spans="1:9">
      <c r="A22" s="2" t="s">
        <v>449</v>
      </c>
      <c r="B22" s="2" t="s">
        <v>450</v>
      </c>
      <c r="C22" s="2" t="s">
        <v>432</v>
      </c>
      <c r="D22" s="2" t="s">
        <v>451</v>
      </c>
      <c r="E22" s="2" t="s">
        <v>218</v>
      </c>
      <c r="F22" s="3">
        <v>8</v>
      </c>
      <c r="G22" s="2" t="s">
        <v>461</v>
      </c>
      <c r="H22" s="4">
        <f>IF(E22="","",IFERROR(INDEX(匹配指标配置!$A$2:$A$83,MATCH(E22,匹配指标配置!$B$2:$B$83,0)),""))</f>
        <v>7</v>
      </c>
      <c r="I22" s="4">
        <f t="shared" si="0"/>
        <v>1</v>
      </c>
    </row>
    <row r="23" spans="1:9">
      <c r="A23" s="2" t="s">
        <v>462</v>
      </c>
      <c r="B23" s="2" t="s">
        <v>463</v>
      </c>
      <c r="C23" s="2" t="s">
        <v>432</v>
      </c>
      <c r="D23" s="2" t="s">
        <v>464</v>
      </c>
      <c r="E23" s="2" t="s">
        <v>200</v>
      </c>
      <c r="F23" s="3">
        <v>10</v>
      </c>
      <c r="G23" s="2" t="s">
        <v>465</v>
      </c>
      <c r="H23" s="4">
        <f>IF(E23="","",IFERROR(INDEX(匹配指标配置!$A$2:$A$83,MATCH(E23,匹配指标配置!$B$2:$B$83,0)),""))</f>
        <v>5</v>
      </c>
      <c r="I23" s="4">
        <f t="shared" si="0"/>
        <v>5</v>
      </c>
    </row>
    <row r="24" spans="1:9">
      <c r="A24" s="2" t="s">
        <v>462</v>
      </c>
      <c r="B24" s="2" t="s">
        <v>463</v>
      </c>
      <c r="C24" s="2" t="s">
        <v>432</v>
      </c>
      <c r="D24" s="2" t="s">
        <v>464</v>
      </c>
      <c r="E24" s="2" t="s">
        <v>158</v>
      </c>
      <c r="F24" s="3">
        <v>9.5</v>
      </c>
      <c r="G24" s="2" t="s">
        <v>466</v>
      </c>
      <c r="H24" s="4">
        <f>IF(E24="","",IFERROR(INDEX(匹配指标配置!$A$2:$A$83,MATCH(E24,匹配指标配置!$B$2:$B$83,0)),""))</f>
        <v>6</v>
      </c>
      <c r="I24" s="4">
        <f t="shared" si="0"/>
        <v>3.5</v>
      </c>
    </row>
    <row r="25" spans="1:9">
      <c r="A25" s="2" t="s">
        <v>462</v>
      </c>
      <c r="B25" s="2" t="s">
        <v>463</v>
      </c>
      <c r="C25" s="2" t="s">
        <v>432</v>
      </c>
      <c r="D25" s="2" t="s">
        <v>464</v>
      </c>
      <c r="E25" s="2" t="s">
        <v>162</v>
      </c>
      <c r="F25" s="3">
        <v>9</v>
      </c>
      <c r="G25" s="2" t="s">
        <v>467</v>
      </c>
      <c r="H25" s="4">
        <f>IF(E25="","",IFERROR(INDEX(匹配指标配置!$A$2:$A$83,MATCH(E25,匹配指标配置!$B$2:$B$83,0)),""))</f>
        <v>6</v>
      </c>
      <c r="I25" s="4">
        <f t="shared" si="0"/>
        <v>3</v>
      </c>
    </row>
    <row r="26" spans="1:9">
      <c r="A26" s="2" t="s">
        <v>462</v>
      </c>
      <c r="B26" s="2" t="s">
        <v>463</v>
      </c>
      <c r="C26" s="2" t="s">
        <v>432</v>
      </c>
      <c r="D26" s="2" t="s">
        <v>464</v>
      </c>
      <c r="E26" s="2" t="s">
        <v>44</v>
      </c>
      <c r="F26" s="3">
        <v>9.5</v>
      </c>
      <c r="G26" s="2" t="s">
        <v>468</v>
      </c>
      <c r="H26" s="4">
        <f>IF(E26="","",IFERROR(INDEX(匹配指标配置!$A$2:$A$83,MATCH(E26,匹配指标配置!$B$2:$B$83,0)),""))</f>
        <v>7</v>
      </c>
      <c r="I26" s="4">
        <f t="shared" si="0"/>
        <v>2.5</v>
      </c>
    </row>
    <row r="27" spans="1:9">
      <c r="A27" s="2" t="s">
        <v>462</v>
      </c>
      <c r="B27" s="2" t="s">
        <v>463</v>
      </c>
      <c r="C27" s="2" t="s">
        <v>432</v>
      </c>
      <c r="D27" s="2" t="s">
        <v>464</v>
      </c>
      <c r="E27" s="2" t="s">
        <v>145</v>
      </c>
      <c r="F27" s="3">
        <v>9.5</v>
      </c>
      <c r="G27" s="2" t="s">
        <v>469</v>
      </c>
      <c r="H27" s="4">
        <f>IF(E27="","",IFERROR(INDEX(匹配指标配置!$A$2:$A$83,MATCH(E27,匹配指标配置!$B$2:$B$83,0)),""))</f>
        <v>7</v>
      </c>
      <c r="I27" s="4">
        <f t="shared" si="0"/>
        <v>2.5</v>
      </c>
    </row>
    <row r="28" spans="1:9">
      <c r="A28" s="2" t="s">
        <v>462</v>
      </c>
      <c r="B28" s="2" t="s">
        <v>463</v>
      </c>
      <c r="C28" s="2" t="s">
        <v>432</v>
      </c>
      <c r="D28" s="2" t="s">
        <v>464</v>
      </c>
      <c r="E28" s="2" t="s">
        <v>58</v>
      </c>
      <c r="F28" s="3">
        <v>8</v>
      </c>
      <c r="G28" s="2" t="s">
        <v>470</v>
      </c>
      <c r="H28" s="4">
        <f>IF(E28="","",IFERROR(INDEX(匹配指标配置!$A$2:$A$83,MATCH(E28,匹配指标配置!$B$2:$B$83,0)),""))</f>
        <v>6</v>
      </c>
      <c r="I28" s="4">
        <f t="shared" si="0"/>
        <v>2</v>
      </c>
    </row>
    <row r="29" spans="1:9">
      <c r="A29" s="2" t="s">
        <v>462</v>
      </c>
      <c r="B29" s="2" t="s">
        <v>463</v>
      </c>
      <c r="C29" s="2" t="s">
        <v>432</v>
      </c>
      <c r="D29" s="2" t="s">
        <v>464</v>
      </c>
      <c r="E29" s="2" t="s">
        <v>266</v>
      </c>
      <c r="F29" s="3">
        <v>8</v>
      </c>
      <c r="G29" s="2" t="s">
        <v>471</v>
      </c>
      <c r="H29" s="4">
        <f>IF(E29="","",IFERROR(INDEX(匹配指标配置!$A$2:$A$83,MATCH(E29,匹配指标配置!$B$2:$B$83,0)),""))</f>
        <v>5</v>
      </c>
      <c r="I29" s="4">
        <f t="shared" si="0"/>
        <v>3</v>
      </c>
    </row>
    <row r="30" spans="1:9">
      <c r="A30" s="2" t="s">
        <v>462</v>
      </c>
      <c r="B30" s="2" t="s">
        <v>463</v>
      </c>
      <c r="C30" s="2" t="s">
        <v>432</v>
      </c>
      <c r="D30" s="2" t="s">
        <v>464</v>
      </c>
      <c r="E30" s="2" t="s">
        <v>229</v>
      </c>
      <c r="F30" s="3">
        <v>8.5</v>
      </c>
      <c r="G30" s="2" t="s">
        <v>472</v>
      </c>
      <c r="H30" s="4">
        <f>IF(E30="","",IFERROR(INDEX(匹配指标配置!$A$2:$A$83,MATCH(E30,匹配指标配置!$B$2:$B$83,0)),""))</f>
        <v>9</v>
      </c>
      <c r="I30" s="4">
        <f t="shared" si="0"/>
        <v>-0.5</v>
      </c>
    </row>
    <row r="31" spans="1:9">
      <c r="A31" s="2" t="s">
        <v>462</v>
      </c>
      <c r="B31" s="2" t="s">
        <v>463</v>
      </c>
      <c r="C31" s="2" t="s">
        <v>432</v>
      </c>
      <c r="D31" s="2" t="s">
        <v>464</v>
      </c>
      <c r="E31" s="2" t="s">
        <v>352</v>
      </c>
      <c r="F31" s="3">
        <v>8.5</v>
      </c>
      <c r="G31" s="2" t="s">
        <v>473</v>
      </c>
      <c r="H31" s="4">
        <f>IF(E31="","",IFERROR(INDEX(匹配指标配置!$A$2:$A$83,MATCH(E31,匹配指标配置!$B$2:$B$83,0)),""))</f>
        <v>5</v>
      </c>
      <c r="I31" s="4">
        <f t="shared" si="0"/>
        <v>3.5</v>
      </c>
    </row>
    <row r="32" spans="1:9">
      <c r="A32" s="2" t="s">
        <v>462</v>
      </c>
      <c r="B32" s="2" t="s">
        <v>463</v>
      </c>
      <c r="C32" s="2" t="s">
        <v>432</v>
      </c>
      <c r="D32" s="2" t="s">
        <v>464</v>
      </c>
      <c r="E32" s="2" t="s">
        <v>211</v>
      </c>
      <c r="F32" s="3">
        <v>9</v>
      </c>
      <c r="G32" s="2" t="s">
        <v>474</v>
      </c>
      <c r="H32" s="4">
        <f>IF(E32="","",IFERROR(INDEX(匹配指标配置!$A$2:$A$83,MATCH(E32,匹配指标配置!$B$2:$B$83,0)),""))</f>
        <v>9</v>
      </c>
      <c r="I32" s="4">
        <f t="shared" si="0"/>
        <v>0</v>
      </c>
    </row>
  </sheetData>
  <dataValidations count="1">
    <dataValidation type="decimal" operator="between" sqref="F2:F32">
      <formula1>0</formula1>
      <formula2>10</formula2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匹配指标配置</vt:lpstr>
      <vt:lpstr>指标分析</vt:lpstr>
      <vt:lpstr>岗位权重模板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E=mc^2</cp:lastModifiedBy>
  <dcterms:created xsi:type="dcterms:W3CDTF">2026-07-15T00:43:42Z</dcterms:created>
  <dcterms:modified xsi:type="dcterms:W3CDTF">2026-07-15T00:45:57Z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57189579E4AE4064B35CA5A038952CC1_12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